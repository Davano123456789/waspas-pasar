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Pasar" sheetId="1" r:id="rId5"/>
    <sheet state="visible" name="Perhitungan WASPAS" sheetId="2" r:id="rId6"/>
  </sheets>
  <definedNames/>
  <calcPr/>
</workbook>
</file>

<file path=xl/sharedStrings.xml><?xml version="1.0" encoding="utf-8"?>
<sst xmlns="http://schemas.openxmlformats.org/spreadsheetml/2006/main" count="211" uniqueCount="50">
  <si>
    <t>No</t>
  </si>
  <si>
    <t>Kode</t>
  </si>
  <si>
    <t>Keterangan</t>
  </si>
  <si>
    <t>Sub Kriteria</t>
  </si>
  <si>
    <t>C1</t>
  </si>
  <si>
    <t>Realisasi Retribusi</t>
  </si>
  <si>
    <t>95% – 100%</t>
  </si>
  <si>
    <t>85% – 94%</t>
  </si>
  <si>
    <t>Kriteria</t>
  </si>
  <si>
    <t xml:space="preserve">Atribut </t>
  </si>
  <si>
    <t>Bobot</t>
  </si>
  <si>
    <t>75% – 84%</t>
  </si>
  <si>
    <t>Benefit</t>
  </si>
  <si>
    <t>60% – 74%</t>
  </si>
  <si>
    <t>C2</t>
  </si>
  <si>
    <t>Jumlah Pengunjung</t>
  </si>
  <si>
    <t>&lt; 60%</t>
  </si>
  <si>
    <t>C3</t>
  </si>
  <si>
    <t>Kebersihan</t>
  </si>
  <si>
    <t>Sangat Baik</t>
  </si>
  <si>
    <t>C4</t>
  </si>
  <si>
    <t>Keamanan</t>
  </si>
  <si>
    <t>Baik</t>
  </si>
  <si>
    <t>C5</t>
  </si>
  <si>
    <t>Kondisi Bangunan</t>
  </si>
  <si>
    <t>Cukup Baik</t>
  </si>
  <si>
    <t>Tidak Baik</t>
  </si>
  <si>
    <t>Sangat Tidak Baik</t>
  </si>
  <si>
    <t>Variabel</t>
  </si>
  <si>
    <t>Likert</t>
  </si>
  <si>
    <t>SISTEM PENDUKUNG KEPUTUSAN PEMBERIAN POTONGAN HARGA PELANGGAN</t>
  </si>
  <si>
    <t>Metode EDAS</t>
  </si>
  <si>
    <t xml:space="preserve">Alternatif </t>
  </si>
  <si>
    <t>Kode Kriteria</t>
  </si>
  <si>
    <t>Simo</t>
  </si>
  <si>
    <t>Pabean</t>
  </si>
  <si>
    <t>Babaan</t>
  </si>
  <si>
    <t>Pecindilan</t>
  </si>
  <si>
    <t>Pegirian</t>
  </si>
  <si>
    <t>Atribut</t>
  </si>
  <si>
    <t>A1</t>
  </si>
  <si>
    <t>A2</t>
  </si>
  <si>
    <t>A3</t>
  </si>
  <si>
    <t>A4</t>
  </si>
  <si>
    <t>A5</t>
  </si>
  <si>
    <t>Matriks Normalisasi</t>
  </si>
  <si>
    <t>Si</t>
  </si>
  <si>
    <t>Pi</t>
  </si>
  <si>
    <t>Qi</t>
  </si>
  <si>
    <t>Ranking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</si>
</sst>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0"/>
  </numFmts>
  <fonts count="9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  <font>
      <sz val="13.0"/>
      <color theme="1"/>
      <name val="Arial"/>
    </font>
    <font/>
    <font>
      <sz val="12.0"/>
      <color theme="1"/>
      <name val="Arial"/>
    </font>
    <font>
      <b/>
      <color rgb="FF000000"/>
      <name val="Arial"/>
    </font>
    <font>
      <color rgb="FF000000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D9D2E9"/>
        <bgColor rgb="FFD9D2E9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F8F9FA"/>
        <bgColor rgb="FFF8F9FA"/>
      </patternFill>
    </fill>
    <fill>
      <patternFill patternType="solid">
        <fgColor rgb="FFEAD1DC"/>
        <bgColor rgb="FFEAD1DC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2" fontId="1" numFmtId="0" xfId="0" applyAlignment="1" applyBorder="1" applyFont="1">
      <alignment horizontal="center"/>
    </xf>
    <xf borderId="0" fillId="0" fontId="2" numFmtId="0" xfId="0" applyFont="1"/>
    <xf borderId="1" fillId="3" fontId="2" numFmtId="0" xfId="0" applyAlignment="1" applyBorder="1" applyFill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 readingOrder="0"/>
    </xf>
    <xf borderId="0" fillId="4" fontId="1" numFmtId="0" xfId="0" applyAlignment="1" applyFill="1" applyFont="1">
      <alignment horizontal="center"/>
    </xf>
    <xf borderId="1" fillId="0" fontId="3" numFmtId="0" xfId="0" applyAlignment="1" applyBorder="1" applyFont="1">
      <alignment horizontal="center"/>
    </xf>
    <xf borderId="1" fillId="2" fontId="1" numFmtId="2" xfId="0" applyAlignment="1" applyBorder="1" applyFont="1" applyNumberFormat="1">
      <alignment horizontal="center" vertical="bottom"/>
    </xf>
    <xf borderId="1" fillId="0" fontId="2" numFmtId="0" xfId="0" applyAlignment="1" applyBorder="1" applyFont="1">
      <alignment horizontal="center"/>
    </xf>
    <xf borderId="1" fillId="3" fontId="2" numFmtId="0" xfId="0" applyAlignment="1" applyBorder="1" applyFont="1">
      <alignment horizontal="center"/>
    </xf>
    <xf borderId="1" fillId="4" fontId="2" numFmtId="9" xfId="0" applyAlignment="1" applyBorder="1" applyFont="1" applyNumberFormat="1">
      <alignment horizontal="center" readingOrder="0"/>
    </xf>
    <xf borderId="1" fillId="0" fontId="2" numFmtId="9" xfId="0" applyAlignment="1" applyBorder="1" applyFont="1" applyNumberFormat="1">
      <alignment horizontal="center" readingOrder="0"/>
    </xf>
    <xf borderId="1" fillId="0" fontId="2" numFmtId="9" xfId="0" applyAlignment="1" applyBorder="1" applyFont="1" applyNumberFormat="1">
      <alignment horizontal="center"/>
    </xf>
    <xf borderId="1" fillId="0" fontId="2" numFmtId="9" xfId="0" applyAlignment="1" applyBorder="1" applyFont="1" applyNumberFormat="1">
      <alignment horizontal="center" readingOrder="0" vertical="bottom"/>
    </xf>
    <xf borderId="0" fillId="4" fontId="2" numFmtId="0" xfId="0" applyFont="1"/>
    <xf borderId="1" fillId="3" fontId="3" numFmtId="0" xfId="0" applyAlignment="1" applyBorder="1" applyFont="1">
      <alignment horizontal="center" readingOrder="0"/>
    </xf>
    <xf borderId="1" fillId="5" fontId="1" numFmtId="0" xfId="0" applyAlignment="1" applyBorder="1" applyFill="1" applyFont="1">
      <alignment horizontal="center"/>
    </xf>
    <xf borderId="1" fillId="6" fontId="2" numFmtId="0" xfId="0" applyAlignment="1" applyBorder="1" applyFill="1" applyFont="1">
      <alignment horizontal="center" readingOrder="0"/>
    </xf>
    <xf borderId="1" fillId="6" fontId="3" numFmtId="0" xfId="0" applyAlignment="1" applyBorder="1" applyFont="1">
      <alignment horizontal="center" readingOrder="0"/>
    </xf>
    <xf borderId="1" fillId="0" fontId="3" numFmtId="0" xfId="0" applyBorder="1" applyFont="1"/>
    <xf borderId="1" fillId="6" fontId="2" numFmtId="0" xfId="0" applyAlignment="1" applyBorder="1" applyFont="1">
      <alignment horizontal="center"/>
    </xf>
    <xf borderId="1" fillId="0" fontId="2" numFmtId="0" xfId="0" applyBorder="1" applyFont="1"/>
    <xf borderId="0" fillId="0" fontId="2" numFmtId="2" xfId="0" applyAlignment="1" applyFont="1" applyNumberFormat="1">
      <alignment vertical="bottom"/>
    </xf>
    <xf borderId="2" fillId="7" fontId="4" numFmtId="2" xfId="0" applyAlignment="1" applyBorder="1" applyFill="1" applyFont="1" applyNumberFormat="1">
      <alignment horizontal="center" vertical="bottom"/>
    </xf>
    <xf borderId="3" fillId="0" fontId="5" numFmtId="0" xfId="0" applyBorder="1" applyFont="1"/>
    <xf borderId="4" fillId="0" fontId="5" numFmtId="0" xfId="0" applyBorder="1" applyFont="1"/>
    <xf borderId="0" fillId="0" fontId="2" numFmtId="0" xfId="0" applyAlignment="1" applyFont="1">
      <alignment vertical="bottom"/>
    </xf>
    <xf borderId="2" fillId="5" fontId="6" numFmtId="2" xfId="0" applyAlignment="1" applyBorder="1" applyFont="1" applyNumberFormat="1">
      <alignment horizontal="center" vertical="bottom"/>
    </xf>
    <xf borderId="1" fillId="2" fontId="7" numFmtId="2" xfId="0" applyAlignment="1" applyBorder="1" applyFont="1" applyNumberFormat="1">
      <alignment horizontal="center" vertical="bottom"/>
    </xf>
    <xf borderId="2" fillId="2" fontId="1" numFmtId="2" xfId="0" applyAlignment="1" applyBorder="1" applyFont="1" applyNumberFormat="1">
      <alignment horizontal="center" readingOrder="0" vertical="bottom"/>
    </xf>
    <xf borderId="2" fillId="2" fontId="1" numFmtId="2" xfId="0" applyAlignment="1" applyBorder="1" applyFont="1" applyNumberFormat="1">
      <alignment horizontal="center" vertical="bottom"/>
    </xf>
    <xf borderId="1" fillId="7" fontId="8" numFmtId="2" xfId="0" applyAlignment="1" applyBorder="1" applyFont="1" applyNumberFormat="1">
      <alignment horizontal="center" readingOrder="0" vertical="bottom"/>
    </xf>
    <xf borderId="1" fillId="4" fontId="8" numFmtId="10" xfId="0" applyAlignment="1" applyBorder="1" applyFont="1" applyNumberFormat="1">
      <alignment horizontal="center" shrinkToFit="0" wrapText="0"/>
    </xf>
    <xf borderId="1" fillId="4" fontId="8" numFmtId="1" xfId="0" applyAlignment="1" applyBorder="1" applyFont="1" applyNumberFormat="1">
      <alignment readingOrder="0" shrinkToFit="0" wrapText="0"/>
    </xf>
    <xf borderId="1" fillId="4" fontId="8" numFmtId="2" xfId="0" applyAlignment="1" applyBorder="1" applyFont="1" applyNumberFormat="1">
      <alignment readingOrder="0" shrinkToFit="0" wrapText="0"/>
    </xf>
    <xf borderId="1" fillId="0" fontId="2" numFmtId="2" xfId="0" applyAlignment="1" applyBorder="1" applyFont="1" applyNumberFormat="1">
      <alignment horizontal="center"/>
    </xf>
    <xf borderId="1" fillId="8" fontId="8" numFmtId="10" xfId="0" applyAlignment="1" applyBorder="1" applyFill="1" applyFont="1" applyNumberFormat="1">
      <alignment horizontal="center" readingOrder="0" shrinkToFit="0" wrapText="0"/>
    </xf>
    <xf borderId="1" fillId="8" fontId="8" numFmtId="1" xfId="0" applyAlignment="1" applyBorder="1" applyFont="1" applyNumberFormat="1">
      <alignment readingOrder="0" shrinkToFit="0" wrapText="0"/>
    </xf>
    <xf borderId="1" fillId="8" fontId="8" numFmtId="2" xfId="0" applyAlignment="1" applyBorder="1" applyFont="1" applyNumberFormat="1">
      <alignment readingOrder="0" shrinkToFit="0" wrapText="0"/>
    </xf>
    <xf borderId="1" fillId="4" fontId="8" numFmtId="10" xfId="0" applyAlignment="1" applyBorder="1" applyFont="1" applyNumberFormat="1">
      <alignment horizontal="center" readingOrder="0" shrinkToFit="0" wrapText="0"/>
    </xf>
    <xf borderId="1" fillId="0" fontId="2" numFmtId="2" xfId="0" applyAlignment="1" applyBorder="1" applyFont="1" applyNumberFormat="1">
      <alignment horizontal="center" readingOrder="0" vertical="bottom"/>
    </xf>
    <xf borderId="1" fillId="9" fontId="1" numFmtId="2" xfId="0" applyAlignment="1" applyBorder="1" applyFill="1" applyFont="1" applyNumberFormat="1">
      <alignment horizontal="center" vertical="bottom"/>
    </xf>
    <xf borderId="1" fillId="7" fontId="2" numFmtId="2" xfId="0" applyAlignment="1" applyBorder="1" applyFont="1" applyNumberFormat="1">
      <alignment horizontal="center" vertical="bottom"/>
    </xf>
    <xf borderId="1" fillId="0" fontId="2" numFmtId="1" xfId="0" applyAlignment="1" applyBorder="1" applyFont="1" applyNumberFormat="1">
      <alignment horizontal="center" readingOrder="0" vertical="bottom"/>
    </xf>
    <xf borderId="1" fillId="0" fontId="2" numFmtId="1" xfId="0" applyAlignment="1" applyBorder="1" applyFont="1" applyNumberFormat="1">
      <alignment horizontal="center" vertical="bottom"/>
    </xf>
    <xf borderId="1" fillId="0" fontId="2" numFmtId="2" xfId="0" applyAlignment="1" applyBorder="1" applyFont="1" applyNumberFormat="1">
      <alignment horizontal="center" vertical="bottom"/>
    </xf>
    <xf borderId="2" fillId="2" fontId="2" numFmtId="4" xfId="0" applyAlignment="1" applyBorder="1" applyFont="1" applyNumberFormat="1">
      <alignment horizontal="center" readingOrder="0" vertical="bottom"/>
    </xf>
    <xf borderId="1" fillId="0" fontId="2" numFmtId="4" xfId="0" applyAlignment="1" applyBorder="1" applyFont="1" applyNumberFormat="1">
      <alignment horizontal="center" vertical="bottom"/>
    </xf>
    <xf borderId="1" fillId="0" fontId="2" numFmtId="164" xfId="0" applyAlignment="1" applyBorder="1" applyFont="1" applyNumberFormat="1">
      <alignment horizontal="center" vertical="bottom"/>
    </xf>
    <xf borderId="1" fillId="3" fontId="2" numFmtId="3" xfId="0" applyAlignment="1" applyBorder="1" applyFont="1" applyNumberFormat="1">
      <alignment horizontal="center" vertical="bottom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4">
    <tableStyle count="2" pivot="0" name="Perhitungan WASPAS-style">
      <tableStyleElement dxfId="1" type="firstRowStripe"/>
      <tableStyleElement dxfId="2" type="secondRowStripe"/>
    </tableStyle>
    <tableStyle count="2" pivot="0" name="Perhitungan WASPAS-style 2">
      <tableStyleElement dxfId="1" type="firstRowStripe"/>
      <tableStyleElement dxfId="2" type="secondRowStripe"/>
    </tableStyle>
    <tableStyle count="2" pivot="0" name="Perhitungan WASPAS-style 3">
      <tableStyleElement dxfId="1" type="firstRowStripe"/>
      <tableStyleElement dxfId="2" type="secondRowStripe"/>
    </tableStyle>
    <tableStyle count="2" pivot="0" name="Perhitungan WASPAS-style 4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B7:B11" displayName="Table_1" name="Table_1" id="1">
  <tableColumns count="1">
    <tableColumn name="Column1" id="1"/>
  </tableColumns>
  <tableStyleInfo name="Perhitungan WASPAS-style" showColumnStripes="0" showFirstColumn="1" showLastColumn="1" showRowStripes="1"/>
</table>
</file>

<file path=xl/tables/table2.xml><?xml version="1.0" encoding="utf-8"?>
<table xmlns="http://schemas.openxmlformats.org/spreadsheetml/2006/main" headerRowCount="0" ref="C7:C11" displayName="Table_2" name="Table_2" id="2">
  <tableColumns count="1">
    <tableColumn name="Column1" id="1"/>
  </tableColumns>
  <tableStyleInfo name="Perhitungan WASPAS-style 2" showColumnStripes="0" showFirstColumn="1" showLastColumn="1" showRowStripes="1"/>
</table>
</file>

<file path=xl/tables/table3.xml><?xml version="1.0" encoding="utf-8"?>
<table xmlns="http://schemas.openxmlformats.org/spreadsheetml/2006/main" headerRowCount="0" ref="D7:D11" displayName="Table_3" name="Table_3" id="3">
  <tableColumns count="1">
    <tableColumn name="Column1" id="1"/>
  </tableColumns>
  <tableStyleInfo name="Perhitungan WASPAS-style 3" showColumnStripes="0" showFirstColumn="1" showLastColumn="1" showRowStripes="1"/>
</table>
</file>

<file path=xl/tables/table4.xml><?xml version="1.0" encoding="utf-8"?>
<table xmlns="http://schemas.openxmlformats.org/spreadsheetml/2006/main" headerRowCount="0" ref="E7:F11" displayName="Table_4" name="Table_4" id="4">
  <tableColumns count="2">
    <tableColumn name="Column1" id="1"/>
    <tableColumn name="Column2" id="2"/>
  </tableColumns>
  <tableStyleInfo name="Perhitungan WASPAS-style 4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9" Type="http://schemas.openxmlformats.org/officeDocument/2006/relationships/table" Target="../tables/table4.xml"/><Relationship Id="rId6" Type="http://schemas.openxmlformats.org/officeDocument/2006/relationships/table" Target="../tables/table1.xml"/><Relationship Id="rId7" Type="http://schemas.openxmlformats.org/officeDocument/2006/relationships/table" Target="../tables/table2.xml"/><Relationship Id="rId8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16.5"/>
    <col customWidth="1" min="4" max="4" width="14.5"/>
    <col customWidth="1" min="7" max="7" width="16.5"/>
    <col customWidth="1" min="8" max="9" width="14.5"/>
  </cols>
  <sheetData>
    <row r="3">
      <c r="A3" s="1" t="s">
        <v>0</v>
      </c>
      <c r="B3" s="2" t="s">
        <v>1</v>
      </c>
      <c r="C3" s="1" t="s">
        <v>2</v>
      </c>
      <c r="D3" s="2" t="s">
        <v>3</v>
      </c>
      <c r="E3" s="3"/>
      <c r="F3" s="3"/>
      <c r="G3" s="3"/>
      <c r="H3" s="3"/>
    </row>
    <row r="4">
      <c r="A4" s="4">
        <v>1.0</v>
      </c>
      <c r="B4" s="4" t="s">
        <v>4</v>
      </c>
      <c r="C4" s="5" t="s">
        <v>5</v>
      </c>
      <c r="D4" s="6" t="s">
        <v>6</v>
      </c>
      <c r="E4" s="3"/>
      <c r="F4" s="7"/>
      <c r="G4" s="7"/>
      <c r="H4" s="7"/>
    </row>
    <row r="5">
      <c r="A5" s="8"/>
      <c r="B5" s="8"/>
      <c r="C5" s="8"/>
      <c r="D5" s="6" t="s">
        <v>7</v>
      </c>
      <c r="E5" s="3"/>
      <c r="F5" s="2" t="s">
        <v>1</v>
      </c>
      <c r="G5" s="2" t="s">
        <v>8</v>
      </c>
      <c r="H5" s="2" t="s">
        <v>9</v>
      </c>
      <c r="I5" s="9" t="s">
        <v>10</v>
      </c>
    </row>
    <row r="6">
      <c r="A6" s="10"/>
      <c r="B6" s="10"/>
      <c r="C6" s="10"/>
      <c r="D6" s="6" t="s">
        <v>11</v>
      </c>
      <c r="E6" s="3"/>
      <c r="F6" s="11" t="s">
        <v>4</v>
      </c>
      <c r="G6" s="5" t="s">
        <v>5</v>
      </c>
      <c r="H6" s="10" t="s">
        <v>12</v>
      </c>
      <c r="I6" s="12">
        <v>0.5</v>
      </c>
    </row>
    <row r="7">
      <c r="A7" s="10"/>
      <c r="B7" s="10"/>
      <c r="C7" s="10"/>
      <c r="D7" s="6" t="s">
        <v>13</v>
      </c>
      <c r="E7" s="3"/>
      <c r="F7" s="11" t="s">
        <v>14</v>
      </c>
      <c r="G7" s="5" t="s">
        <v>15</v>
      </c>
      <c r="H7" s="10" t="s">
        <v>12</v>
      </c>
      <c r="I7" s="13">
        <v>0.15</v>
      </c>
    </row>
    <row r="8">
      <c r="A8" s="10"/>
      <c r="B8" s="10"/>
      <c r="C8" s="10"/>
      <c r="D8" s="6" t="s">
        <v>16</v>
      </c>
      <c r="E8" s="3"/>
      <c r="F8" s="11" t="s">
        <v>17</v>
      </c>
      <c r="G8" s="5" t="s">
        <v>18</v>
      </c>
      <c r="H8" s="10" t="s">
        <v>12</v>
      </c>
      <c r="I8" s="13">
        <v>0.1</v>
      </c>
    </row>
    <row r="9">
      <c r="A9" s="4">
        <v>2.0</v>
      </c>
      <c r="B9" s="4" t="s">
        <v>14</v>
      </c>
      <c r="C9" s="5" t="s">
        <v>15</v>
      </c>
      <c r="D9" s="5" t="s">
        <v>19</v>
      </c>
      <c r="E9" s="3"/>
      <c r="F9" s="11" t="s">
        <v>20</v>
      </c>
      <c r="G9" s="5" t="s">
        <v>21</v>
      </c>
      <c r="H9" s="10" t="s">
        <v>12</v>
      </c>
      <c r="I9" s="14">
        <v>0.1</v>
      </c>
    </row>
    <row r="10">
      <c r="A10" s="10"/>
      <c r="B10" s="10"/>
      <c r="C10" s="10"/>
      <c r="D10" s="5" t="s">
        <v>22</v>
      </c>
      <c r="E10" s="3"/>
      <c r="F10" s="4" t="s">
        <v>23</v>
      </c>
      <c r="G10" s="5" t="s">
        <v>24</v>
      </c>
      <c r="H10" s="10" t="s">
        <v>12</v>
      </c>
      <c r="I10" s="15">
        <v>0.15</v>
      </c>
    </row>
    <row r="11">
      <c r="A11" s="10"/>
      <c r="B11" s="10"/>
      <c r="C11" s="10"/>
      <c r="D11" s="5" t="s">
        <v>25</v>
      </c>
      <c r="E11" s="3"/>
      <c r="F11" s="3"/>
      <c r="G11" s="3"/>
      <c r="H11" s="3"/>
    </row>
    <row r="12">
      <c r="A12" s="10"/>
      <c r="B12" s="10"/>
      <c r="C12" s="10"/>
      <c r="D12" s="5" t="s">
        <v>26</v>
      </c>
      <c r="E12" s="16"/>
      <c r="F12" s="16"/>
      <c r="G12" s="3"/>
      <c r="H12" s="3"/>
    </row>
    <row r="13">
      <c r="A13" s="10"/>
      <c r="B13" s="10"/>
      <c r="C13" s="10"/>
      <c r="D13" s="5" t="s">
        <v>27</v>
      </c>
      <c r="E13" s="16"/>
      <c r="F13" s="16"/>
      <c r="G13" s="3"/>
      <c r="H13" s="3"/>
    </row>
    <row r="14">
      <c r="A14" s="4">
        <v>3.0</v>
      </c>
      <c r="B14" s="4" t="s">
        <v>17</v>
      </c>
      <c r="C14" s="5" t="s">
        <v>18</v>
      </c>
      <c r="D14" s="5" t="s">
        <v>19</v>
      </c>
      <c r="E14" s="16"/>
      <c r="F14" s="16"/>
      <c r="G14" s="3"/>
      <c r="H14" s="3"/>
    </row>
    <row r="15">
      <c r="A15" s="10"/>
      <c r="B15" s="10"/>
      <c r="C15" s="10"/>
      <c r="D15" s="5" t="s">
        <v>22</v>
      </c>
      <c r="E15" s="16"/>
      <c r="F15" s="16"/>
      <c r="G15" s="3"/>
      <c r="H15" s="3"/>
    </row>
    <row r="16">
      <c r="A16" s="10"/>
      <c r="B16" s="10"/>
      <c r="C16" s="10"/>
      <c r="D16" s="5" t="s">
        <v>25</v>
      </c>
      <c r="E16" s="16"/>
      <c r="F16" s="16"/>
      <c r="G16" s="3"/>
      <c r="H16" s="3"/>
    </row>
    <row r="17">
      <c r="A17" s="10"/>
      <c r="B17" s="10"/>
      <c r="C17" s="10"/>
      <c r="D17" s="5" t="s">
        <v>26</v>
      </c>
      <c r="E17" s="16"/>
      <c r="F17" s="16"/>
      <c r="G17" s="3"/>
      <c r="H17" s="3"/>
    </row>
    <row r="18">
      <c r="A18" s="10"/>
      <c r="B18" s="10"/>
      <c r="C18" s="10"/>
      <c r="D18" s="5" t="s">
        <v>27</v>
      </c>
      <c r="E18" s="16"/>
      <c r="F18" s="16"/>
      <c r="G18" s="3"/>
      <c r="H18" s="3"/>
    </row>
    <row r="19">
      <c r="A19" s="4">
        <v>4.0</v>
      </c>
      <c r="B19" s="4" t="s">
        <v>20</v>
      </c>
      <c r="C19" s="5" t="s">
        <v>21</v>
      </c>
      <c r="D19" s="5" t="s">
        <v>19</v>
      </c>
      <c r="E19" s="16"/>
      <c r="F19" s="16"/>
      <c r="G19" s="3"/>
      <c r="H19" s="3"/>
    </row>
    <row r="20">
      <c r="A20" s="10"/>
      <c r="B20" s="10"/>
      <c r="C20" s="10"/>
      <c r="D20" s="5" t="s">
        <v>22</v>
      </c>
      <c r="E20" s="16"/>
      <c r="F20" s="16"/>
      <c r="G20" s="3"/>
      <c r="H20" s="3"/>
    </row>
    <row r="21">
      <c r="A21" s="10"/>
      <c r="B21" s="10"/>
      <c r="C21" s="10"/>
      <c r="D21" s="5" t="s">
        <v>25</v>
      </c>
      <c r="E21" s="16"/>
      <c r="F21" s="16"/>
      <c r="G21" s="3"/>
      <c r="H21" s="3"/>
    </row>
    <row r="22">
      <c r="A22" s="10"/>
      <c r="B22" s="10"/>
      <c r="C22" s="10"/>
      <c r="D22" s="5" t="s">
        <v>26</v>
      </c>
      <c r="E22" s="16"/>
      <c r="F22" s="16"/>
      <c r="G22" s="3"/>
      <c r="H22" s="3"/>
    </row>
    <row r="23">
      <c r="A23" s="10"/>
      <c r="B23" s="8"/>
      <c r="C23" s="10"/>
      <c r="D23" s="5" t="s">
        <v>27</v>
      </c>
      <c r="E23" s="16"/>
      <c r="F23" s="16"/>
      <c r="G23" s="3"/>
      <c r="H23" s="3"/>
    </row>
    <row r="24">
      <c r="A24" s="17">
        <v>5.0</v>
      </c>
      <c r="B24" s="4" t="s">
        <v>23</v>
      </c>
      <c r="C24" s="6" t="s">
        <v>24</v>
      </c>
      <c r="D24" s="5" t="s">
        <v>19</v>
      </c>
    </row>
    <row r="25">
      <c r="A25" s="8"/>
      <c r="B25" s="8"/>
      <c r="C25" s="8"/>
      <c r="D25" s="5" t="s">
        <v>22</v>
      </c>
    </row>
    <row r="26">
      <c r="A26" s="8"/>
      <c r="B26" s="8"/>
      <c r="C26" s="8"/>
      <c r="D26" s="5" t="s">
        <v>25</v>
      </c>
    </row>
    <row r="27">
      <c r="A27" s="8"/>
      <c r="B27" s="8"/>
      <c r="C27" s="8"/>
      <c r="D27" s="5" t="s">
        <v>26</v>
      </c>
    </row>
    <row r="28">
      <c r="A28" s="8"/>
      <c r="B28" s="8"/>
      <c r="C28" s="8"/>
      <c r="D28" s="5" t="s">
        <v>27</v>
      </c>
    </row>
    <row r="32">
      <c r="A32" s="18" t="s">
        <v>1</v>
      </c>
      <c r="B32" s="18" t="s">
        <v>8</v>
      </c>
      <c r="C32" s="18" t="s">
        <v>3</v>
      </c>
      <c r="D32" s="18" t="s">
        <v>28</v>
      </c>
      <c r="E32" s="18" t="s">
        <v>29</v>
      </c>
      <c r="G32" s="18" t="s">
        <v>1</v>
      </c>
      <c r="H32" s="18" t="s">
        <v>8</v>
      </c>
      <c r="I32" s="18" t="s">
        <v>3</v>
      </c>
      <c r="J32" s="18" t="s">
        <v>29</v>
      </c>
    </row>
    <row r="33">
      <c r="A33" s="11" t="s">
        <v>4</v>
      </c>
      <c r="B33" s="5" t="s">
        <v>5</v>
      </c>
      <c r="C33" s="6" t="s">
        <v>6</v>
      </c>
      <c r="D33" s="5" t="s">
        <v>19</v>
      </c>
      <c r="E33" s="19">
        <v>5.0</v>
      </c>
      <c r="G33" s="4" t="s">
        <v>20</v>
      </c>
      <c r="H33" s="5" t="s">
        <v>21</v>
      </c>
      <c r="I33" s="5" t="s">
        <v>19</v>
      </c>
      <c r="J33" s="20">
        <v>5.0</v>
      </c>
    </row>
    <row r="34">
      <c r="A34" s="10"/>
      <c r="B34" s="10"/>
      <c r="C34" s="6" t="s">
        <v>7</v>
      </c>
      <c r="D34" s="5" t="s">
        <v>22</v>
      </c>
      <c r="E34" s="19">
        <v>4.0</v>
      </c>
      <c r="G34" s="21"/>
      <c r="H34" s="21"/>
      <c r="I34" s="5" t="s">
        <v>22</v>
      </c>
      <c r="J34" s="22">
        <v>4.0</v>
      </c>
    </row>
    <row r="35">
      <c r="A35" s="10"/>
      <c r="B35" s="10"/>
      <c r="C35" s="6" t="s">
        <v>11</v>
      </c>
      <c r="D35" s="5" t="s">
        <v>25</v>
      </c>
      <c r="E35" s="19">
        <v>3.0</v>
      </c>
      <c r="G35" s="23"/>
      <c r="H35" s="23"/>
      <c r="I35" s="5" t="s">
        <v>25</v>
      </c>
      <c r="J35" s="22">
        <v>3.0</v>
      </c>
    </row>
    <row r="36">
      <c r="A36" s="10"/>
      <c r="B36" s="10"/>
      <c r="C36" s="6" t="s">
        <v>13</v>
      </c>
      <c r="D36" s="5" t="s">
        <v>26</v>
      </c>
      <c r="E36" s="19">
        <v>2.0</v>
      </c>
      <c r="G36" s="23"/>
      <c r="H36" s="23"/>
      <c r="I36" s="5" t="s">
        <v>26</v>
      </c>
      <c r="J36" s="22">
        <v>2.0</v>
      </c>
    </row>
    <row r="37">
      <c r="A37" s="10"/>
      <c r="B37" s="10"/>
      <c r="C37" s="6" t="s">
        <v>16</v>
      </c>
      <c r="D37" s="5" t="s">
        <v>27</v>
      </c>
      <c r="E37" s="19">
        <v>1.0</v>
      </c>
      <c r="F37" s="3"/>
      <c r="G37" s="23"/>
      <c r="H37" s="23"/>
      <c r="I37" s="5" t="s">
        <v>27</v>
      </c>
      <c r="J37" s="22">
        <v>1.0</v>
      </c>
    </row>
    <row r="38">
      <c r="A38" s="3"/>
      <c r="B38" s="3"/>
      <c r="C38" s="3"/>
      <c r="D38" s="3"/>
      <c r="E38" s="3"/>
      <c r="F38" s="3"/>
      <c r="G38" s="3"/>
      <c r="H38" s="3"/>
      <c r="I38" s="3"/>
    </row>
    <row r="39">
      <c r="A39" s="18" t="s">
        <v>1</v>
      </c>
      <c r="B39" s="18" t="s">
        <v>8</v>
      </c>
      <c r="C39" s="18" t="s">
        <v>3</v>
      </c>
      <c r="D39" s="18" t="s">
        <v>29</v>
      </c>
      <c r="E39" s="3"/>
      <c r="F39" s="3"/>
      <c r="G39" s="18" t="s">
        <v>1</v>
      </c>
      <c r="H39" s="18" t="s">
        <v>8</v>
      </c>
      <c r="I39" s="18" t="s">
        <v>3</v>
      </c>
      <c r="J39" s="18" t="s">
        <v>29</v>
      </c>
    </row>
    <row r="40">
      <c r="A40" s="4" t="s">
        <v>14</v>
      </c>
      <c r="B40" s="5" t="s">
        <v>15</v>
      </c>
      <c r="C40" s="5" t="s">
        <v>19</v>
      </c>
      <c r="D40" s="20">
        <v>5.0</v>
      </c>
      <c r="E40" s="3"/>
      <c r="G40" s="4" t="s">
        <v>23</v>
      </c>
      <c r="H40" s="5" t="s">
        <v>24</v>
      </c>
      <c r="I40" s="5" t="s">
        <v>19</v>
      </c>
      <c r="J40" s="20">
        <v>5.0</v>
      </c>
    </row>
    <row r="41">
      <c r="A41" s="21"/>
      <c r="B41" s="21"/>
      <c r="C41" s="5" t="s">
        <v>22</v>
      </c>
      <c r="D41" s="22">
        <v>4.0</v>
      </c>
      <c r="E41" s="3"/>
      <c r="G41" s="21"/>
      <c r="H41" s="21"/>
      <c r="I41" s="5" t="s">
        <v>22</v>
      </c>
      <c r="J41" s="22">
        <v>4.0</v>
      </c>
    </row>
    <row r="42">
      <c r="A42" s="23"/>
      <c r="B42" s="23"/>
      <c r="C42" s="5" t="s">
        <v>25</v>
      </c>
      <c r="D42" s="22">
        <v>3.0</v>
      </c>
      <c r="E42" s="3"/>
      <c r="G42" s="23"/>
      <c r="H42" s="23"/>
      <c r="I42" s="5" t="s">
        <v>25</v>
      </c>
      <c r="J42" s="22">
        <v>3.0</v>
      </c>
    </row>
    <row r="43">
      <c r="A43" s="23"/>
      <c r="B43" s="23"/>
      <c r="C43" s="5" t="s">
        <v>26</v>
      </c>
      <c r="D43" s="22">
        <v>2.0</v>
      </c>
      <c r="E43" s="3"/>
      <c r="G43" s="23"/>
      <c r="H43" s="23"/>
      <c r="I43" s="5" t="s">
        <v>26</v>
      </c>
      <c r="J43" s="22">
        <v>2.0</v>
      </c>
    </row>
    <row r="44">
      <c r="A44" s="23"/>
      <c r="B44" s="23"/>
      <c r="C44" s="5" t="s">
        <v>27</v>
      </c>
      <c r="D44" s="22">
        <v>1.0</v>
      </c>
      <c r="E44" s="3"/>
      <c r="G44" s="23"/>
      <c r="H44" s="23"/>
      <c r="I44" s="5" t="s">
        <v>27</v>
      </c>
      <c r="J44" s="22">
        <v>1.0</v>
      </c>
    </row>
    <row r="45">
      <c r="A45" s="3"/>
      <c r="B45" s="3"/>
      <c r="C45" s="3"/>
      <c r="D45" s="3"/>
      <c r="E45" s="3"/>
      <c r="F45" s="3"/>
      <c r="G45" s="3"/>
      <c r="H45" s="3"/>
      <c r="I45" s="3"/>
    </row>
    <row r="46">
      <c r="A46" s="18" t="s">
        <v>1</v>
      </c>
      <c r="B46" s="18" t="s">
        <v>8</v>
      </c>
      <c r="C46" s="18" t="s">
        <v>3</v>
      </c>
      <c r="D46" s="18" t="s">
        <v>29</v>
      </c>
      <c r="E46" s="3"/>
      <c r="F46" s="3"/>
      <c r="G46" s="3"/>
      <c r="H46" s="3"/>
      <c r="I46" s="3"/>
    </row>
    <row r="47">
      <c r="A47" s="11" t="s">
        <v>17</v>
      </c>
      <c r="B47" s="5" t="s">
        <v>18</v>
      </c>
      <c r="C47" s="5" t="s">
        <v>19</v>
      </c>
      <c r="D47" s="20">
        <v>5.0</v>
      </c>
      <c r="E47" s="3"/>
      <c r="F47" s="3"/>
      <c r="G47" s="3"/>
      <c r="H47" s="3"/>
      <c r="I47" s="3"/>
    </row>
    <row r="48">
      <c r="A48" s="21"/>
      <c r="B48" s="21"/>
      <c r="C48" s="5" t="s">
        <v>22</v>
      </c>
      <c r="D48" s="22">
        <v>4.0</v>
      </c>
    </row>
    <row r="49">
      <c r="A49" s="23"/>
      <c r="B49" s="23"/>
      <c r="C49" s="5" t="s">
        <v>25</v>
      </c>
      <c r="D49" s="22">
        <v>3.0</v>
      </c>
    </row>
    <row r="50">
      <c r="A50" s="23"/>
      <c r="B50" s="23"/>
      <c r="C50" s="5" t="s">
        <v>26</v>
      </c>
      <c r="D50" s="22">
        <v>2.0</v>
      </c>
    </row>
    <row r="51">
      <c r="A51" s="23"/>
      <c r="B51" s="23"/>
      <c r="C51" s="5" t="s">
        <v>27</v>
      </c>
      <c r="D51" s="22">
        <v>1.0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2.38"/>
  </cols>
  <sheetData>
    <row r="2">
      <c r="A2" s="24"/>
      <c r="B2" s="25" t="s">
        <v>30</v>
      </c>
      <c r="C2" s="26"/>
      <c r="D2" s="26"/>
      <c r="E2" s="26"/>
      <c r="F2" s="26"/>
      <c r="G2" s="26"/>
      <c r="H2" s="26"/>
      <c r="I2" s="26"/>
      <c r="J2" s="27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</row>
    <row r="3">
      <c r="A3" s="24"/>
      <c r="B3" s="29" t="s">
        <v>31</v>
      </c>
      <c r="C3" s="26"/>
      <c r="D3" s="26"/>
      <c r="E3" s="26"/>
      <c r="F3" s="26"/>
      <c r="G3" s="26"/>
      <c r="H3" s="26"/>
      <c r="I3" s="26"/>
      <c r="J3" s="27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</row>
    <row r="4">
      <c r="A4" s="24"/>
      <c r="B4" s="24"/>
      <c r="C4" s="24"/>
      <c r="D4" s="24"/>
      <c r="E4" s="24"/>
      <c r="F4" s="24"/>
      <c r="G4" s="24"/>
      <c r="H4" s="24"/>
      <c r="I4" s="24"/>
      <c r="J4" s="24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</row>
    <row r="5">
      <c r="A5" s="24"/>
      <c r="B5" s="24"/>
      <c r="C5" s="24"/>
      <c r="D5" s="24"/>
      <c r="E5" s="24"/>
      <c r="F5" s="24"/>
      <c r="G5" s="24"/>
      <c r="H5" s="24"/>
      <c r="I5" s="24"/>
      <c r="J5" s="24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</row>
    <row r="6">
      <c r="A6" s="30" t="s">
        <v>32</v>
      </c>
      <c r="B6" s="30" t="s">
        <v>4</v>
      </c>
      <c r="C6" s="30" t="s">
        <v>14</v>
      </c>
      <c r="D6" s="30" t="s">
        <v>17</v>
      </c>
      <c r="E6" s="30" t="s">
        <v>20</v>
      </c>
      <c r="F6" s="30" t="s">
        <v>23</v>
      </c>
      <c r="G6" s="24"/>
      <c r="H6" s="31" t="s">
        <v>33</v>
      </c>
      <c r="I6" s="32" t="s">
        <v>9</v>
      </c>
      <c r="J6" s="9" t="s">
        <v>10</v>
      </c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</row>
    <row r="7">
      <c r="A7" s="33" t="s">
        <v>34</v>
      </c>
      <c r="B7" s="34">
        <v>0.7</v>
      </c>
      <c r="C7" s="35" t="s">
        <v>25</v>
      </c>
      <c r="D7" s="36" t="s">
        <v>25</v>
      </c>
      <c r="E7" s="36" t="s">
        <v>26</v>
      </c>
      <c r="F7" s="36" t="s">
        <v>26</v>
      </c>
      <c r="G7" s="24"/>
      <c r="H7" s="6" t="s">
        <v>4</v>
      </c>
      <c r="I7" s="37" t="s">
        <v>12</v>
      </c>
      <c r="J7" s="12">
        <v>0.5</v>
      </c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</row>
    <row r="8">
      <c r="A8" s="33" t="s">
        <v>35</v>
      </c>
      <c r="B8" s="38">
        <v>0.7</v>
      </c>
      <c r="C8" s="39" t="s">
        <v>22</v>
      </c>
      <c r="D8" s="40" t="s">
        <v>22</v>
      </c>
      <c r="E8" s="40" t="s">
        <v>22</v>
      </c>
      <c r="F8" s="40" t="s">
        <v>22</v>
      </c>
      <c r="G8" s="24"/>
      <c r="H8" s="6" t="s">
        <v>14</v>
      </c>
      <c r="I8" s="37" t="s">
        <v>12</v>
      </c>
      <c r="J8" s="13">
        <v>0.15</v>
      </c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</row>
    <row r="9">
      <c r="A9" s="33" t="s">
        <v>36</v>
      </c>
      <c r="B9" s="41">
        <v>0.87</v>
      </c>
      <c r="C9" s="35" t="s">
        <v>25</v>
      </c>
      <c r="D9" s="36" t="s">
        <v>25</v>
      </c>
      <c r="E9" s="36" t="s">
        <v>25</v>
      </c>
      <c r="F9" s="36" t="s">
        <v>25</v>
      </c>
      <c r="G9" s="24"/>
      <c r="H9" s="6" t="s">
        <v>17</v>
      </c>
      <c r="I9" s="37" t="s">
        <v>12</v>
      </c>
      <c r="J9" s="13">
        <v>0.1</v>
      </c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</row>
    <row r="10">
      <c r="A10" s="33" t="s">
        <v>37</v>
      </c>
      <c r="B10" s="38">
        <v>0.4495</v>
      </c>
      <c r="C10" s="39" t="s">
        <v>25</v>
      </c>
      <c r="D10" s="40" t="s">
        <v>26</v>
      </c>
      <c r="E10" s="40" t="s">
        <v>25</v>
      </c>
      <c r="F10" s="40" t="s">
        <v>26</v>
      </c>
      <c r="G10" s="24"/>
      <c r="H10" s="6" t="s">
        <v>20</v>
      </c>
      <c r="I10" s="37" t="s">
        <v>12</v>
      </c>
      <c r="J10" s="14">
        <v>0.1</v>
      </c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</row>
    <row r="11">
      <c r="A11" s="33" t="s">
        <v>38</v>
      </c>
      <c r="B11" s="34">
        <v>0.66</v>
      </c>
      <c r="C11" s="35" t="s">
        <v>25</v>
      </c>
      <c r="D11" s="36" t="s">
        <v>25</v>
      </c>
      <c r="E11" s="36" t="s">
        <v>25</v>
      </c>
      <c r="F11" s="36" t="s">
        <v>25</v>
      </c>
      <c r="G11" s="24"/>
      <c r="H11" s="42" t="s">
        <v>23</v>
      </c>
      <c r="I11" s="37" t="s">
        <v>12</v>
      </c>
      <c r="J11" s="15">
        <v>0.15</v>
      </c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</row>
    <row r="12">
      <c r="A12" s="24"/>
      <c r="B12" s="24"/>
      <c r="C12" s="24"/>
      <c r="D12" s="24"/>
      <c r="E12" s="24"/>
      <c r="F12" s="24"/>
      <c r="G12" s="24"/>
      <c r="H12" s="24"/>
      <c r="I12" s="24"/>
      <c r="J12" s="24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</row>
    <row r="13">
      <c r="A13" s="9" t="s">
        <v>32</v>
      </c>
      <c r="B13" s="9" t="s">
        <v>4</v>
      </c>
      <c r="C13" s="9" t="s">
        <v>14</v>
      </c>
      <c r="D13" s="9" t="s">
        <v>17</v>
      </c>
      <c r="E13" s="9" t="s">
        <v>20</v>
      </c>
      <c r="F13" s="9" t="s">
        <v>23</v>
      </c>
      <c r="G13" s="24"/>
      <c r="H13" s="43" t="s">
        <v>8</v>
      </c>
      <c r="I13" s="43" t="s">
        <v>39</v>
      </c>
      <c r="J13" s="43" t="s">
        <v>10</v>
      </c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</row>
    <row r="14">
      <c r="A14" s="44" t="s">
        <v>40</v>
      </c>
      <c r="B14" s="45">
        <v>2.0</v>
      </c>
      <c r="C14" s="45">
        <v>3.0</v>
      </c>
      <c r="D14" s="46">
        <v>3.0</v>
      </c>
      <c r="E14" s="45">
        <v>2.0</v>
      </c>
      <c r="F14" s="45">
        <v>2.0</v>
      </c>
      <c r="G14" s="24"/>
      <c r="H14" s="44" t="s">
        <v>4</v>
      </c>
      <c r="I14" s="47" t="s">
        <v>12</v>
      </c>
      <c r="J14" s="42">
        <v>0.5</v>
      </c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</row>
    <row r="15">
      <c r="A15" s="44" t="s">
        <v>41</v>
      </c>
      <c r="B15" s="45">
        <v>2.0</v>
      </c>
      <c r="C15" s="45">
        <v>4.0</v>
      </c>
      <c r="D15" s="46">
        <v>4.0</v>
      </c>
      <c r="E15" s="46">
        <v>4.0</v>
      </c>
      <c r="F15" s="45">
        <v>4.0</v>
      </c>
      <c r="G15" s="24"/>
      <c r="H15" s="44" t="s">
        <v>14</v>
      </c>
      <c r="I15" s="47" t="s">
        <v>12</v>
      </c>
      <c r="J15" s="42">
        <v>0.15</v>
      </c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</row>
    <row r="16">
      <c r="A16" s="44" t="s">
        <v>42</v>
      </c>
      <c r="B16" s="45">
        <v>4.0</v>
      </c>
      <c r="C16" s="45">
        <v>3.0</v>
      </c>
      <c r="D16" s="46">
        <v>3.0</v>
      </c>
      <c r="E16" s="45">
        <v>3.0</v>
      </c>
      <c r="F16" s="45">
        <v>3.0</v>
      </c>
      <c r="G16" s="24"/>
      <c r="H16" s="44" t="s">
        <v>17</v>
      </c>
      <c r="I16" s="47" t="s">
        <v>12</v>
      </c>
      <c r="J16" s="42">
        <v>0.1</v>
      </c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</row>
    <row r="17">
      <c r="A17" s="44" t="s">
        <v>43</v>
      </c>
      <c r="B17" s="45">
        <v>1.0</v>
      </c>
      <c r="C17" s="46">
        <v>3.0</v>
      </c>
      <c r="D17" s="46">
        <v>2.0</v>
      </c>
      <c r="E17" s="46">
        <v>3.0</v>
      </c>
      <c r="F17" s="45">
        <v>2.0</v>
      </c>
      <c r="G17" s="24"/>
      <c r="H17" s="44" t="s">
        <v>20</v>
      </c>
      <c r="I17" s="47" t="s">
        <v>12</v>
      </c>
      <c r="J17" s="47">
        <v>0.1</v>
      </c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</row>
    <row r="18">
      <c r="A18" s="44" t="s">
        <v>44</v>
      </c>
      <c r="B18" s="45">
        <v>2.0</v>
      </c>
      <c r="C18" s="45">
        <v>3.0</v>
      </c>
      <c r="D18" s="45">
        <v>3.0</v>
      </c>
      <c r="E18" s="45">
        <v>3.0</v>
      </c>
      <c r="F18" s="45">
        <v>3.0</v>
      </c>
      <c r="G18" s="24"/>
      <c r="H18" s="44" t="s">
        <v>23</v>
      </c>
      <c r="I18" s="47" t="s">
        <v>12</v>
      </c>
      <c r="J18" s="42">
        <v>0.15</v>
      </c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</row>
    <row r="19">
      <c r="A19" s="28"/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</row>
    <row r="20">
      <c r="A20" s="48" t="s">
        <v>45</v>
      </c>
      <c r="B20" s="26"/>
      <c r="C20" s="26"/>
      <c r="D20" s="26"/>
      <c r="E20" s="26"/>
      <c r="F20" s="27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</row>
    <row r="21">
      <c r="A21" s="9" t="s">
        <v>32</v>
      </c>
      <c r="B21" s="9" t="s">
        <v>4</v>
      </c>
      <c r="C21" s="9" t="s">
        <v>14</v>
      </c>
      <c r="D21" s="9" t="s">
        <v>17</v>
      </c>
      <c r="E21" s="9" t="s">
        <v>20</v>
      </c>
      <c r="F21" s="9" t="s">
        <v>23</v>
      </c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</row>
    <row r="22">
      <c r="A22" s="44" t="s">
        <v>40</v>
      </c>
      <c r="B22" s="49">
        <f t="shared" ref="B22:B26" si="1">B14/MAX($B$14:$B$18)</f>
        <v>0.5</v>
      </c>
      <c r="C22" s="49">
        <f t="shared" ref="C22:C26" si="2">C14/MAX($C$14:$C$18)</f>
        <v>0.75</v>
      </c>
      <c r="D22" s="49">
        <f t="shared" ref="D22:D26" si="3">D14/MAX($D$14:$D$18)</f>
        <v>0.75</v>
      </c>
      <c r="E22" s="49">
        <f t="shared" ref="E22:E26" si="4">E14/MAX($E$14:$E$18)</f>
        <v>0.5</v>
      </c>
      <c r="F22" s="47">
        <f t="shared" ref="F22:F26" si="5">F14/MAX($F$14:$F$18)</f>
        <v>0.5</v>
      </c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</row>
    <row r="23">
      <c r="A23" s="44" t="s">
        <v>41</v>
      </c>
      <c r="B23" s="49">
        <f t="shared" si="1"/>
        <v>0.5</v>
      </c>
      <c r="C23" s="49">
        <f t="shared" si="2"/>
        <v>1</v>
      </c>
      <c r="D23" s="49">
        <f t="shared" si="3"/>
        <v>1</v>
      </c>
      <c r="E23" s="49">
        <f t="shared" si="4"/>
        <v>1</v>
      </c>
      <c r="F23" s="47">
        <f t="shared" si="5"/>
        <v>1</v>
      </c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</row>
    <row r="24">
      <c r="A24" s="44" t="s">
        <v>42</v>
      </c>
      <c r="B24" s="49">
        <f t="shared" si="1"/>
        <v>1</v>
      </c>
      <c r="C24" s="49">
        <f t="shared" si="2"/>
        <v>0.75</v>
      </c>
      <c r="D24" s="49">
        <f t="shared" si="3"/>
        <v>0.75</v>
      </c>
      <c r="E24" s="49">
        <f t="shared" si="4"/>
        <v>0.75</v>
      </c>
      <c r="F24" s="47">
        <f t="shared" si="5"/>
        <v>0.75</v>
      </c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</row>
    <row r="25">
      <c r="A25" s="44" t="s">
        <v>43</v>
      </c>
      <c r="B25" s="49">
        <f t="shared" si="1"/>
        <v>0.25</v>
      </c>
      <c r="C25" s="49">
        <f t="shared" si="2"/>
        <v>0.75</v>
      </c>
      <c r="D25" s="49">
        <f t="shared" si="3"/>
        <v>0.5</v>
      </c>
      <c r="E25" s="49">
        <f t="shared" si="4"/>
        <v>0.75</v>
      </c>
      <c r="F25" s="47">
        <f t="shared" si="5"/>
        <v>0.5</v>
      </c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</row>
    <row r="26">
      <c r="A26" s="44" t="s">
        <v>44</v>
      </c>
      <c r="B26" s="49">
        <f t="shared" si="1"/>
        <v>0.5</v>
      </c>
      <c r="C26" s="49">
        <f t="shared" si="2"/>
        <v>0.75</v>
      </c>
      <c r="D26" s="49">
        <f t="shared" si="3"/>
        <v>0.75</v>
      </c>
      <c r="E26" s="49">
        <f t="shared" si="4"/>
        <v>0.75</v>
      </c>
      <c r="F26" s="47">
        <f t="shared" si="5"/>
        <v>0.75</v>
      </c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</row>
    <row r="27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</row>
    <row r="28">
      <c r="A28" s="9" t="s">
        <v>32</v>
      </c>
      <c r="B28" s="9" t="s">
        <v>46</v>
      </c>
      <c r="C28" s="9" t="s">
        <v>47</v>
      </c>
      <c r="D28" s="9" t="s">
        <v>48</v>
      </c>
      <c r="E28" s="9" t="s">
        <v>49</v>
      </c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</row>
    <row r="29">
      <c r="A29" s="44" t="s">
        <v>40</v>
      </c>
      <c r="B29" s="50">
        <f t="shared" ref="B29:B33" si="6">($J$14*B22)+($J$15*C22)+($J$16*D22)+($J$17*E22)+($J$18*F22)</f>
        <v>0.5625</v>
      </c>
      <c r="C29" s="50">
        <f t="shared" ref="C29:C33" si="7">((B22)^($J$14))*((C22)^($J$15))*((D22)^($J$16))*((E22)^($J$17))*((F22)^($J$18))</f>
        <v>0.5533409599</v>
      </c>
      <c r="D29" s="50">
        <f t="shared" ref="D29:D33" si="8">AVERAGE(B29:C29)</f>
        <v>0.5579204799</v>
      </c>
      <c r="E29" s="51">
        <f t="shared" ref="E29:E33" si="9">RANK(D29,$D$29:$D$33,0)</f>
        <v>4</v>
      </c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</row>
    <row r="30">
      <c r="A30" s="44" t="s">
        <v>41</v>
      </c>
      <c r="B30" s="50">
        <f t="shared" si="6"/>
        <v>0.75</v>
      </c>
      <c r="C30" s="50">
        <f t="shared" si="7"/>
        <v>0.7071067812</v>
      </c>
      <c r="D30" s="50">
        <f t="shared" si="8"/>
        <v>0.7285533906</v>
      </c>
      <c r="E30" s="51">
        <f t="shared" si="9"/>
        <v>2</v>
      </c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</row>
    <row r="31">
      <c r="A31" s="44" t="s">
        <v>42</v>
      </c>
      <c r="B31" s="50">
        <f t="shared" si="6"/>
        <v>0.875</v>
      </c>
      <c r="C31" s="50">
        <f t="shared" si="7"/>
        <v>0.8660254038</v>
      </c>
      <c r="D31" s="50">
        <f t="shared" si="8"/>
        <v>0.8705127019</v>
      </c>
      <c r="E31" s="51">
        <f t="shared" si="9"/>
        <v>1</v>
      </c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</row>
    <row r="32">
      <c r="A32" s="44" t="s">
        <v>43</v>
      </c>
      <c r="B32" s="50">
        <f t="shared" si="6"/>
        <v>0.4375</v>
      </c>
      <c r="C32" s="50">
        <f t="shared" si="7"/>
        <v>0.391271145</v>
      </c>
      <c r="D32" s="50">
        <f t="shared" si="8"/>
        <v>0.4143855725</v>
      </c>
      <c r="E32" s="51">
        <f t="shared" si="9"/>
        <v>5</v>
      </c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</row>
    <row r="33">
      <c r="A33" s="44" t="s">
        <v>44</v>
      </c>
      <c r="B33" s="50">
        <f t="shared" si="6"/>
        <v>0.625</v>
      </c>
      <c r="C33" s="50">
        <f t="shared" si="7"/>
        <v>0.6123724357</v>
      </c>
      <c r="D33" s="50">
        <f t="shared" si="8"/>
        <v>0.6186862178</v>
      </c>
      <c r="E33" s="51">
        <f t="shared" si="9"/>
        <v>3</v>
      </c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</row>
    <row r="34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</row>
    <row r="35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</row>
    <row r="36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</row>
    <row r="37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</row>
    <row r="38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</row>
    <row r="39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</row>
    <row r="40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</row>
    <row r="41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</row>
    <row r="42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</row>
    <row r="43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</row>
    <row r="44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</row>
    <row r="45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</row>
    <row r="46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</row>
    <row r="47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</row>
    <row r="48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</row>
    <row r="49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</row>
    <row r="50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</row>
    <row r="51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</row>
    <row r="52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</row>
    <row r="53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</row>
    <row r="54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</row>
    <row r="55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</row>
    <row r="56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</row>
    <row r="57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</row>
    <row r="58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</row>
    <row r="59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</row>
    <row r="60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</row>
    <row r="61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</row>
    <row r="62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</row>
    <row r="63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</row>
    <row r="64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</row>
    <row r="65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</row>
    <row r="66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</row>
    <row r="67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</row>
    <row r="68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</row>
    <row r="69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</row>
    <row r="70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</row>
    <row r="71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</row>
    <row r="72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</row>
    <row r="73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</row>
    <row r="74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</row>
    <row r="75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</row>
    <row r="76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</row>
    <row r="77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</row>
    <row r="78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</row>
    <row r="79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</row>
    <row r="80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</row>
    <row r="8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</row>
    <row r="82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</row>
    <row r="83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</row>
    <row r="84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</row>
    <row r="85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</row>
    <row r="86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</row>
    <row r="87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</row>
    <row r="88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</row>
    <row r="89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</row>
    <row r="90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</row>
    <row r="9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</row>
    <row r="92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</row>
    <row r="93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</row>
    <row r="94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</row>
    <row r="95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</row>
    <row r="96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</row>
    <row r="97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</row>
    <row r="98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</row>
    <row r="99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</row>
    <row r="100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</row>
    <row r="10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</row>
    <row r="102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</row>
    <row r="103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</row>
    <row r="104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</row>
    <row r="105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</row>
    <row r="106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</row>
    <row r="107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</row>
    <row r="108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</row>
    <row r="109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</row>
    <row r="110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</row>
    <row r="11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</row>
    <row r="112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</row>
    <row r="113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</row>
    <row r="114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</row>
    <row r="115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</row>
    <row r="116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</row>
    <row r="117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</row>
    <row r="118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</row>
    <row r="119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</row>
    <row r="120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</row>
    <row r="12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</row>
    <row r="122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</row>
    <row r="123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</row>
    <row r="124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</row>
    <row r="125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</row>
    <row r="126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</row>
    <row r="127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</row>
    <row r="128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</row>
    <row r="129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</row>
    <row r="130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</row>
    <row r="13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</row>
    <row r="132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</row>
    <row r="133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</row>
    <row r="134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</row>
    <row r="135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</row>
    <row r="136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</row>
    <row r="137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</row>
    <row r="138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</row>
    <row r="139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</row>
    <row r="140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</row>
    <row r="14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</row>
    <row r="142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</row>
    <row r="143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</row>
    <row r="144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</row>
    <row r="145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</row>
    <row r="146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</row>
    <row r="147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</row>
    <row r="148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</row>
    <row r="149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</row>
    <row r="150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</row>
    <row r="15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</row>
    <row r="152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</row>
    <row r="153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</row>
    <row r="154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</row>
    <row r="155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</row>
    <row r="156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</row>
    <row r="157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</row>
    <row r="158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</row>
    <row r="159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</row>
    <row r="160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</row>
    <row r="161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</row>
    <row r="162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</row>
    <row r="163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</row>
    <row r="164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</row>
    <row r="165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</row>
    <row r="166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</row>
    <row r="167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</row>
    <row r="168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</row>
    <row r="169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</row>
    <row r="170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</row>
    <row r="171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</row>
    <row r="172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  <c r="AA172" s="28"/>
    </row>
    <row r="173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</row>
    <row r="174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</row>
    <row r="175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  <c r="AA175" s="28"/>
    </row>
    <row r="176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</row>
    <row r="177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</row>
    <row r="178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</row>
    <row r="179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</row>
    <row r="180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</row>
    <row r="181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</row>
    <row r="182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</row>
    <row r="183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</row>
    <row r="184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  <c r="AA184" s="28"/>
    </row>
    <row r="185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</row>
    <row r="186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</row>
    <row r="187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</row>
    <row r="188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  <c r="AA188" s="28"/>
    </row>
    <row r="189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</row>
    <row r="190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</row>
    <row r="191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  <c r="AA191" s="28"/>
    </row>
    <row r="192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  <c r="AA192" s="28"/>
    </row>
    <row r="193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</row>
    <row r="194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  <c r="AA194" s="28"/>
    </row>
    <row r="195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  <c r="AA195" s="28"/>
    </row>
    <row r="196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</row>
    <row r="197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  <c r="AA197" s="28"/>
    </row>
    <row r="198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  <c r="AA198" s="28"/>
    </row>
    <row r="199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  <c r="AA199" s="28"/>
    </row>
    <row r="200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  <c r="AA200" s="28"/>
    </row>
    <row r="201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  <c r="AA201" s="28"/>
    </row>
    <row r="202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  <c r="AA202" s="28"/>
    </row>
    <row r="203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  <c r="AA203" s="28"/>
    </row>
    <row r="204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  <c r="AA204" s="28"/>
    </row>
    <row r="205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  <c r="AA205" s="28"/>
    </row>
    <row r="206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  <c r="AA206" s="28"/>
    </row>
    <row r="207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  <c r="AA207" s="28"/>
    </row>
    <row r="208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  <c r="AA208" s="28"/>
    </row>
    <row r="209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  <c r="AA209" s="28"/>
    </row>
    <row r="210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  <c r="AA210" s="28"/>
    </row>
    <row r="211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  <c r="AA211" s="28"/>
    </row>
    <row r="212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  <c r="AA212" s="28"/>
    </row>
    <row r="213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  <c r="AA213" s="28"/>
    </row>
    <row r="214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  <c r="AA214" s="28"/>
    </row>
    <row r="215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  <c r="AA215" s="28"/>
    </row>
    <row r="216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  <c r="AA216" s="28"/>
    </row>
    <row r="217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  <c r="AA217" s="28"/>
    </row>
    <row r="218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  <c r="AA218" s="28"/>
    </row>
    <row r="219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  <c r="AA219" s="28"/>
    </row>
    <row r="220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  <c r="AA220" s="28"/>
    </row>
    <row r="221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  <c r="AA221" s="28"/>
    </row>
    <row r="222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  <c r="AA222" s="28"/>
    </row>
    <row r="223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  <c r="AA223" s="28"/>
    </row>
    <row r="224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  <c r="AA224" s="28"/>
    </row>
    <row r="225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  <c r="AA225" s="28"/>
    </row>
    <row r="226">
      <c r="A226" s="28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  <c r="AA226" s="28"/>
    </row>
    <row r="227">
      <c r="A227" s="28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  <c r="AA227" s="28"/>
    </row>
    <row r="228">
      <c r="A228" s="28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  <c r="AA228" s="28"/>
    </row>
    <row r="229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  <c r="AA229" s="28"/>
    </row>
    <row r="230">
      <c r="A230" s="28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  <c r="AA230" s="28"/>
    </row>
    <row r="231">
      <c r="A231" s="28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  <c r="AA231" s="28"/>
    </row>
    <row r="232">
      <c r="A232" s="28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  <c r="AA232" s="28"/>
    </row>
    <row r="233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  <c r="AA233" s="28"/>
    </row>
    <row r="234">
      <c r="A234" s="28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  <c r="AA234" s="28"/>
    </row>
    <row r="235">
      <c r="A235" s="28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  <c r="AA235" s="28"/>
    </row>
    <row r="236">
      <c r="A236" s="28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  <c r="AA236" s="28"/>
    </row>
    <row r="237">
      <c r="A237" s="28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  <c r="AA237" s="28"/>
    </row>
    <row r="238">
      <c r="A238" s="28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  <c r="AA238" s="28"/>
    </row>
    <row r="239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  <c r="AA239" s="28"/>
    </row>
    <row r="240">
      <c r="A240" s="28"/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  <c r="AA240" s="28"/>
    </row>
    <row r="241">
      <c r="A241" s="28"/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  <c r="AA241" s="28"/>
    </row>
    <row r="242">
      <c r="A242" s="28"/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  <c r="AA242" s="28"/>
    </row>
    <row r="243">
      <c r="A243" s="28"/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  <c r="AA243" s="28"/>
    </row>
    <row r="244">
      <c r="A244" s="28"/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  <c r="AA244" s="28"/>
    </row>
    <row r="245">
      <c r="A245" s="28"/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  <c r="AA245" s="28"/>
    </row>
    <row r="246">
      <c r="A246" s="28"/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  <c r="AA246" s="28"/>
    </row>
    <row r="247">
      <c r="A247" s="28"/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  <c r="AA247" s="28"/>
    </row>
    <row r="248">
      <c r="A248" s="28"/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  <c r="AA248" s="28"/>
    </row>
    <row r="249">
      <c r="A249" s="28"/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  <c r="AA249" s="28"/>
    </row>
    <row r="250">
      <c r="A250" s="28"/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  <c r="AA250" s="28"/>
    </row>
    <row r="251">
      <c r="A251" s="28"/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  <c r="AA251" s="28"/>
    </row>
    <row r="252">
      <c r="A252" s="28"/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  <c r="AA252" s="28"/>
    </row>
    <row r="253">
      <c r="A253" s="28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  <c r="AA253" s="28"/>
    </row>
    <row r="254">
      <c r="A254" s="28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  <c r="AA254" s="28"/>
    </row>
    <row r="255">
      <c r="A255" s="28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  <c r="AA255" s="28"/>
    </row>
    <row r="256">
      <c r="A256" s="28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  <c r="AA256" s="28"/>
    </row>
    <row r="257">
      <c r="A257" s="28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  <c r="AA257" s="28"/>
    </row>
    <row r="258">
      <c r="A258" s="28"/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  <c r="AA258" s="28"/>
    </row>
    <row r="259">
      <c r="A259" s="28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  <c r="AA259" s="28"/>
    </row>
    <row r="260">
      <c r="A260" s="28"/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  <c r="AA260" s="28"/>
    </row>
    <row r="261">
      <c r="A261" s="28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  <c r="AA261" s="28"/>
    </row>
    <row r="262">
      <c r="A262" s="28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  <c r="AA262" s="28"/>
    </row>
    <row r="263">
      <c r="A263" s="28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  <c r="AA263" s="28"/>
    </row>
    <row r="264">
      <c r="A264" s="28"/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  <c r="AA264" s="28"/>
    </row>
    <row r="265">
      <c r="A265" s="28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  <c r="AA265" s="28"/>
    </row>
    <row r="266">
      <c r="A266" s="28"/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  <c r="AA266" s="28"/>
    </row>
    <row r="267">
      <c r="A267" s="28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  <c r="AA267" s="28"/>
    </row>
    <row r="268">
      <c r="A268" s="28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  <c r="AA268" s="28"/>
    </row>
    <row r="269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  <c r="AA269" s="28"/>
    </row>
    <row r="270">
      <c r="A270" s="28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  <c r="AA270" s="28"/>
    </row>
    <row r="271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  <c r="AA271" s="28"/>
    </row>
    <row r="272">
      <c r="A272" s="28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  <c r="AA272" s="28"/>
    </row>
    <row r="273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  <c r="AA273" s="28"/>
    </row>
    <row r="274">
      <c r="A274" s="28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  <c r="AA274" s="28"/>
    </row>
    <row r="275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  <c r="AA275" s="28"/>
    </row>
    <row r="276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  <c r="AA276" s="28"/>
    </row>
    <row r="277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  <c r="AA277" s="28"/>
    </row>
    <row r="278">
      <c r="A278" s="28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  <c r="AA278" s="28"/>
    </row>
    <row r="279">
      <c r="A279" s="28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  <c r="AA279" s="28"/>
    </row>
    <row r="280">
      <c r="A280" s="28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  <c r="AA280" s="28"/>
    </row>
    <row r="281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  <c r="AA281" s="28"/>
    </row>
    <row r="282">
      <c r="A282" s="28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  <c r="AA282" s="28"/>
    </row>
    <row r="283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  <c r="AA283" s="28"/>
    </row>
    <row r="284">
      <c r="A284" s="28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  <c r="AA284" s="28"/>
    </row>
    <row r="285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  <c r="AA285" s="28"/>
    </row>
    <row r="286">
      <c r="A286" s="28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  <c r="AA286" s="28"/>
    </row>
    <row r="287">
      <c r="A287" s="28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  <c r="AA287" s="28"/>
    </row>
    <row r="288">
      <c r="A288" s="28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  <c r="AA288" s="28"/>
    </row>
    <row r="289">
      <c r="A289" s="28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  <c r="AA289" s="28"/>
    </row>
    <row r="290">
      <c r="A290" s="28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  <c r="AA290" s="28"/>
    </row>
    <row r="291">
      <c r="A291" s="28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  <c r="AA291" s="28"/>
    </row>
    <row r="292">
      <c r="A292" s="28"/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  <c r="AA292" s="28"/>
    </row>
    <row r="293">
      <c r="A293" s="28"/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  <c r="AA293" s="28"/>
    </row>
    <row r="294">
      <c r="A294" s="28"/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  <c r="AA294" s="28"/>
    </row>
    <row r="295">
      <c r="A295" s="28"/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  <c r="AA295" s="28"/>
    </row>
    <row r="296">
      <c r="A296" s="28"/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  <c r="AA296" s="28"/>
    </row>
    <row r="297">
      <c r="A297" s="28"/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  <c r="AA297" s="28"/>
    </row>
    <row r="298">
      <c r="A298" s="28"/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  <c r="AA298" s="28"/>
    </row>
    <row r="299">
      <c r="A299" s="28"/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  <c r="AA299" s="28"/>
    </row>
    <row r="300">
      <c r="A300" s="28"/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  <c r="AA300" s="28"/>
    </row>
    <row r="301">
      <c r="A301" s="28"/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  <c r="AA301" s="28"/>
    </row>
    <row r="302">
      <c r="A302" s="28"/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  <c r="AA302" s="28"/>
    </row>
    <row r="303">
      <c r="A303" s="28"/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  <c r="AA303" s="28"/>
    </row>
    <row r="304">
      <c r="A304" s="28"/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  <c r="AA304" s="28"/>
    </row>
    <row r="305">
      <c r="A305" s="28"/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  <c r="AA305" s="28"/>
    </row>
    <row r="306">
      <c r="A306" s="28"/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  <c r="AA306" s="28"/>
    </row>
    <row r="307">
      <c r="A307" s="28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  <c r="AA307" s="28"/>
    </row>
    <row r="308">
      <c r="A308" s="28"/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  <c r="AA308" s="28"/>
    </row>
    <row r="309">
      <c r="A309" s="28"/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  <c r="AA309" s="28"/>
    </row>
    <row r="310">
      <c r="A310" s="28"/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  <c r="AA310" s="28"/>
    </row>
    <row r="311">
      <c r="A311" s="28"/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  <c r="AA311" s="28"/>
    </row>
    <row r="312">
      <c r="A312" s="28"/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  <c r="AA312" s="28"/>
    </row>
    <row r="313">
      <c r="A313" s="28"/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  <c r="AA313" s="28"/>
    </row>
    <row r="314">
      <c r="A314" s="28"/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  <c r="AA314" s="28"/>
    </row>
    <row r="315">
      <c r="A315" s="28"/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  <c r="AA315" s="28"/>
    </row>
    <row r="316">
      <c r="A316" s="28"/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  <c r="AA316" s="28"/>
    </row>
    <row r="317">
      <c r="A317" s="28"/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  <c r="AA317" s="28"/>
    </row>
    <row r="318">
      <c r="A318" s="28"/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  <c r="AA318" s="28"/>
    </row>
    <row r="319">
      <c r="A319" s="28"/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  <c r="AA319" s="28"/>
    </row>
    <row r="320">
      <c r="A320" s="28"/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  <c r="AA320" s="28"/>
    </row>
    <row r="321">
      <c r="A321" s="28"/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  <c r="AA321" s="28"/>
    </row>
    <row r="322">
      <c r="A322" s="28"/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  <c r="AA322" s="28"/>
    </row>
    <row r="323">
      <c r="A323" s="28"/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  <c r="AA323" s="28"/>
    </row>
    <row r="324">
      <c r="A324" s="28"/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  <c r="AA324" s="28"/>
    </row>
    <row r="325">
      <c r="A325" s="28"/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  <c r="AA325" s="28"/>
    </row>
    <row r="326">
      <c r="A326" s="28"/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  <c r="AA326" s="28"/>
    </row>
    <row r="327">
      <c r="A327" s="28"/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  <c r="AA327" s="28"/>
    </row>
    <row r="328">
      <c r="A328" s="28"/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  <c r="AA328" s="28"/>
    </row>
    <row r="329">
      <c r="A329" s="28"/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  <c r="AA329" s="28"/>
    </row>
    <row r="330">
      <c r="A330" s="28"/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  <c r="AA330" s="28"/>
    </row>
    <row r="331">
      <c r="A331" s="28"/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  <c r="AA331" s="28"/>
    </row>
    <row r="332">
      <c r="A332" s="28"/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  <c r="AA332" s="28"/>
    </row>
    <row r="333">
      <c r="A333" s="28"/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  <c r="AA333" s="28"/>
    </row>
    <row r="334">
      <c r="A334" s="28"/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  <c r="AA334" s="28"/>
    </row>
    <row r="335">
      <c r="A335" s="28"/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  <c r="AA335" s="28"/>
    </row>
    <row r="336">
      <c r="A336" s="28"/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  <c r="AA336" s="28"/>
    </row>
    <row r="337">
      <c r="A337" s="28"/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  <c r="AA337" s="28"/>
    </row>
    <row r="338">
      <c r="A338" s="28"/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  <c r="AA338" s="28"/>
    </row>
    <row r="339">
      <c r="A339" s="28"/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  <c r="AA339" s="28"/>
    </row>
    <row r="340">
      <c r="A340" s="28"/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  <c r="AA340" s="28"/>
    </row>
    <row r="341">
      <c r="A341" s="28"/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  <c r="AA341" s="28"/>
    </row>
    <row r="342">
      <c r="A342" s="28"/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  <c r="AA342" s="28"/>
    </row>
    <row r="343">
      <c r="A343" s="28"/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  <c r="AA343" s="28"/>
    </row>
    <row r="344">
      <c r="A344" s="28"/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  <c r="AA344" s="28"/>
    </row>
    <row r="345">
      <c r="A345" s="28"/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  <c r="AA345" s="28"/>
    </row>
    <row r="346">
      <c r="A346" s="28"/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  <c r="AA346" s="28"/>
    </row>
    <row r="347">
      <c r="A347" s="28"/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  <c r="AA347" s="28"/>
    </row>
    <row r="348">
      <c r="A348" s="28"/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  <c r="AA348" s="28"/>
    </row>
    <row r="349">
      <c r="A349" s="28"/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  <c r="AA349" s="28"/>
    </row>
    <row r="350">
      <c r="A350" s="28"/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  <c r="AA350" s="28"/>
    </row>
    <row r="351">
      <c r="A351" s="28"/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  <c r="AA351" s="28"/>
    </row>
    <row r="352">
      <c r="A352" s="28"/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  <c r="AA352" s="28"/>
    </row>
    <row r="353">
      <c r="A353" s="28"/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  <c r="AA353" s="28"/>
    </row>
    <row r="354">
      <c r="A354" s="28"/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  <c r="AA354" s="28"/>
    </row>
    <row r="355">
      <c r="A355" s="28"/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  <c r="AA355" s="28"/>
    </row>
    <row r="356">
      <c r="A356" s="28"/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  <c r="AA356" s="28"/>
    </row>
    <row r="357">
      <c r="A357" s="28"/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  <c r="AA357" s="28"/>
    </row>
    <row r="358">
      <c r="A358" s="28"/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  <c r="AA358" s="28"/>
    </row>
    <row r="359">
      <c r="A359" s="28"/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  <c r="AA359" s="28"/>
    </row>
    <row r="360">
      <c r="A360" s="28"/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  <c r="AA360" s="28"/>
    </row>
    <row r="361">
      <c r="A361" s="28"/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  <c r="AA361" s="28"/>
    </row>
    <row r="362">
      <c r="A362" s="28"/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  <c r="AA362" s="28"/>
    </row>
    <row r="363">
      <c r="A363" s="28"/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  <c r="AA363" s="28"/>
    </row>
    <row r="364">
      <c r="A364" s="28"/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  <c r="AA364" s="28"/>
    </row>
    <row r="365">
      <c r="A365" s="28"/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  <c r="AA365" s="28"/>
    </row>
    <row r="366">
      <c r="A366" s="28"/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  <c r="AA366" s="28"/>
    </row>
    <row r="367">
      <c r="A367" s="28"/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  <c r="AA367" s="28"/>
    </row>
    <row r="368">
      <c r="A368" s="28"/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  <c r="AA368" s="28"/>
    </row>
    <row r="369">
      <c r="A369" s="28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  <c r="AA369" s="28"/>
    </row>
    <row r="370">
      <c r="A370" s="28"/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  <c r="AA370" s="28"/>
    </row>
    <row r="371">
      <c r="A371" s="28"/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  <c r="AA371" s="28"/>
    </row>
    <row r="372">
      <c r="A372" s="28"/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  <c r="AA372" s="28"/>
    </row>
    <row r="373">
      <c r="A373" s="28"/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  <c r="AA373" s="28"/>
    </row>
    <row r="374">
      <c r="A374" s="28"/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  <c r="AA374" s="28"/>
    </row>
    <row r="375">
      <c r="A375" s="28"/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  <c r="AA375" s="28"/>
    </row>
    <row r="376">
      <c r="A376" s="28"/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  <c r="AA376" s="28"/>
    </row>
    <row r="377">
      <c r="A377" s="28"/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  <c r="AA377" s="28"/>
    </row>
    <row r="378">
      <c r="A378" s="28"/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  <c r="AA378" s="28"/>
    </row>
    <row r="379">
      <c r="A379" s="28"/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  <c r="AA379" s="28"/>
    </row>
    <row r="380">
      <c r="A380" s="28"/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  <c r="AA380" s="28"/>
    </row>
    <row r="381">
      <c r="A381" s="28"/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  <c r="AA381" s="28"/>
    </row>
    <row r="382">
      <c r="A382" s="28"/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  <c r="AA382" s="28"/>
    </row>
    <row r="383">
      <c r="A383" s="28"/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  <c r="AA383" s="28"/>
    </row>
    <row r="384">
      <c r="A384" s="28"/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  <c r="AA384" s="28"/>
    </row>
    <row r="385">
      <c r="A385" s="28"/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  <c r="AA385" s="28"/>
    </row>
    <row r="386">
      <c r="A386" s="28"/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  <c r="AA386" s="28"/>
    </row>
    <row r="387">
      <c r="A387" s="28"/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  <c r="AA387" s="28"/>
    </row>
    <row r="388">
      <c r="A388" s="28"/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  <c r="AA388" s="28"/>
    </row>
    <row r="389">
      <c r="A389" s="28"/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  <c r="AA389" s="28"/>
    </row>
    <row r="390">
      <c r="A390" s="28"/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  <c r="AA390" s="28"/>
    </row>
    <row r="391">
      <c r="A391" s="28"/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  <c r="AA391" s="28"/>
    </row>
    <row r="392">
      <c r="A392" s="28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  <c r="AA392" s="28"/>
    </row>
    <row r="393">
      <c r="A393" s="28"/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  <c r="AA393" s="28"/>
    </row>
    <row r="394">
      <c r="A394" s="28"/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  <c r="AA394" s="28"/>
    </row>
    <row r="395">
      <c r="A395" s="28"/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  <c r="AA395" s="28"/>
    </row>
    <row r="396">
      <c r="A396" s="28"/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  <c r="AA396" s="28"/>
    </row>
    <row r="397">
      <c r="A397" s="28"/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  <c r="AA397" s="28"/>
    </row>
    <row r="398">
      <c r="A398" s="28"/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  <c r="AA398" s="28"/>
    </row>
    <row r="399">
      <c r="A399" s="28"/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  <c r="AA399" s="28"/>
    </row>
    <row r="400">
      <c r="A400" s="28"/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  <c r="AA400" s="28"/>
    </row>
    <row r="401">
      <c r="A401" s="28"/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  <c r="AA401" s="28"/>
    </row>
    <row r="402">
      <c r="A402" s="28"/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  <c r="AA402" s="28"/>
    </row>
    <row r="403">
      <c r="A403" s="28"/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  <c r="AA403" s="28"/>
    </row>
    <row r="404">
      <c r="A404" s="28"/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  <c r="AA404" s="28"/>
    </row>
    <row r="405">
      <c r="A405" s="28"/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  <c r="AA405" s="28"/>
    </row>
    <row r="406">
      <c r="A406" s="28"/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  <c r="AA406" s="28"/>
    </row>
    <row r="407">
      <c r="A407" s="28"/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  <c r="AA407" s="28"/>
    </row>
    <row r="408">
      <c r="A408" s="28"/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  <c r="AA408" s="28"/>
    </row>
    <row r="409">
      <c r="A409" s="28"/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  <c r="AA409" s="28"/>
    </row>
    <row r="410">
      <c r="A410" s="28"/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  <c r="AA410" s="28"/>
    </row>
    <row r="411">
      <c r="A411" s="28"/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  <c r="AA411" s="28"/>
    </row>
    <row r="412">
      <c r="A412" s="28"/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  <c r="AA412" s="28"/>
    </row>
    <row r="413">
      <c r="A413" s="28"/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  <c r="AA413" s="28"/>
    </row>
    <row r="414">
      <c r="A414" s="28"/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  <c r="AA414" s="28"/>
    </row>
    <row r="415">
      <c r="A415" s="28"/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  <c r="AA415" s="28"/>
    </row>
    <row r="416">
      <c r="A416" s="28"/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  <c r="AA416" s="28"/>
    </row>
    <row r="417">
      <c r="A417" s="28"/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  <c r="AA417" s="28"/>
    </row>
    <row r="418">
      <c r="A418" s="28"/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  <c r="AA418" s="28"/>
    </row>
    <row r="419">
      <c r="A419" s="28"/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  <c r="AA419" s="28"/>
    </row>
    <row r="420">
      <c r="A420" s="28"/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  <c r="AA420" s="28"/>
    </row>
    <row r="421">
      <c r="A421" s="28"/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  <c r="AA421" s="28"/>
    </row>
    <row r="422">
      <c r="A422" s="28"/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  <c r="AA422" s="28"/>
    </row>
    <row r="423">
      <c r="A423" s="28"/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  <c r="AA423" s="28"/>
    </row>
    <row r="424">
      <c r="A424" s="28"/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  <c r="AA424" s="28"/>
    </row>
    <row r="425">
      <c r="A425" s="28"/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  <c r="AA425" s="28"/>
    </row>
    <row r="426">
      <c r="A426" s="28"/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  <c r="AA426" s="28"/>
    </row>
    <row r="427">
      <c r="A427" s="28"/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  <c r="AA427" s="28"/>
    </row>
    <row r="428">
      <c r="A428" s="28"/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  <c r="AA428" s="28"/>
    </row>
    <row r="429">
      <c r="A429" s="28"/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  <c r="AA429" s="28"/>
    </row>
    <row r="430">
      <c r="A430" s="28"/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  <c r="AA430" s="28"/>
    </row>
    <row r="431">
      <c r="A431" s="28"/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  <c r="AA431" s="28"/>
    </row>
    <row r="432">
      <c r="A432" s="28"/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  <c r="AA432" s="28"/>
    </row>
    <row r="433">
      <c r="A433" s="28"/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  <c r="AA433" s="28"/>
    </row>
    <row r="434">
      <c r="A434" s="28"/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  <c r="AA434" s="28"/>
    </row>
    <row r="435">
      <c r="A435" s="28"/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  <c r="AA435" s="28"/>
    </row>
    <row r="436">
      <c r="A436" s="28"/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  <c r="AA436" s="28"/>
    </row>
    <row r="437">
      <c r="A437" s="28"/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  <c r="AA437" s="28"/>
    </row>
    <row r="438">
      <c r="A438" s="28"/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  <c r="AA438" s="28"/>
    </row>
    <row r="439">
      <c r="A439" s="28"/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  <c r="AA439" s="28"/>
    </row>
    <row r="440">
      <c r="A440" s="28"/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  <c r="AA440" s="28"/>
    </row>
    <row r="441">
      <c r="A441" s="28"/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  <c r="AA441" s="28"/>
    </row>
    <row r="442">
      <c r="A442" s="28"/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  <c r="AA442" s="28"/>
    </row>
    <row r="443">
      <c r="A443" s="28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  <c r="AA443" s="28"/>
    </row>
    <row r="444">
      <c r="A444" s="28"/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  <c r="AA444" s="28"/>
    </row>
    <row r="445">
      <c r="A445" s="28"/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  <c r="AA445" s="28"/>
    </row>
    <row r="446">
      <c r="A446" s="28"/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  <c r="AA446" s="28"/>
    </row>
    <row r="447">
      <c r="A447" s="28"/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  <c r="AA447" s="28"/>
    </row>
    <row r="448">
      <c r="A448" s="28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  <c r="AA448" s="28"/>
    </row>
    <row r="449">
      <c r="A449" s="28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  <c r="AA449" s="28"/>
    </row>
    <row r="450">
      <c r="A450" s="28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  <c r="AA450" s="28"/>
    </row>
    <row r="451">
      <c r="A451" s="28"/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  <c r="AA451" s="28"/>
    </row>
    <row r="452">
      <c r="A452" s="28"/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  <c r="AA452" s="28"/>
    </row>
    <row r="453">
      <c r="A453" s="28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  <c r="AA453" s="28"/>
    </row>
    <row r="454">
      <c r="A454" s="28"/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  <c r="AA454" s="28"/>
    </row>
    <row r="455">
      <c r="A455" s="28"/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  <c r="AA455" s="28"/>
    </row>
    <row r="456">
      <c r="A456" s="28"/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  <c r="AA456" s="28"/>
    </row>
    <row r="457">
      <c r="A457" s="28"/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  <c r="AA457" s="28"/>
    </row>
    <row r="458">
      <c r="A458" s="28"/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  <c r="AA458" s="28"/>
    </row>
    <row r="459">
      <c r="A459" s="28"/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  <c r="AA459" s="28"/>
    </row>
    <row r="460">
      <c r="A460" s="28"/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  <c r="AA460" s="28"/>
    </row>
    <row r="461">
      <c r="A461" s="28"/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  <c r="AA461" s="28"/>
    </row>
    <row r="462">
      <c r="A462" s="28"/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  <c r="AA462" s="28"/>
    </row>
    <row r="463">
      <c r="A463" s="28"/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  <c r="AA463" s="28"/>
    </row>
    <row r="464">
      <c r="A464" s="28"/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  <c r="AA464" s="28"/>
    </row>
    <row r="465">
      <c r="A465" s="28"/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  <c r="AA465" s="28"/>
    </row>
    <row r="466">
      <c r="A466" s="28"/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  <c r="AA466" s="28"/>
    </row>
    <row r="467">
      <c r="A467" s="28"/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  <c r="AA467" s="28"/>
    </row>
    <row r="468">
      <c r="A468" s="28"/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  <c r="AA468" s="28"/>
    </row>
    <row r="469">
      <c r="A469" s="28"/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  <c r="AA469" s="28"/>
    </row>
    <row r="470">
      <c r="A470" s="28"/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  <c r="AA470" s="28"/>
    </row>
    <row r="471">
      <c r="A471" s="28"/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  <c r="AA471" s="28"/>
    </row>
    <row r="472">
      <c r="A472" s="28"/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  <c r="AA472" s="28"/>
    </row>
    <row r="473">
      <c r="A473" s="28"/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  <c r="AA473" s="28"/>
    </row>
    <row r="474">
      <c r="A474" s="28"/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  <c r="AA474" s="28"/>
    </row>
    <row r="475">
      <c r="A475" s="28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  <c r="AA475" s="28"/>
    </row>
    <row r="476">
      <c r="A476" s="28"/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  <c r="AA476" s="28"/>
    </row>
    <row r="477">
      <c r="A477" s="28"/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  <c r="AA477" s="28"/>
    </row>
    <row r="478">
      <c r="A478" s="28"/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  <c r="AA478" s="28"/>
    </row>
    <row r="479">
      <c r="A479" s="28"/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  <c r="AA479" s="28"/>
    </row>
    <row r="480">
      <c r="A480" s="28"/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  <c r="AA480" s="28"/>
    </row>
    <row r="481">
      <c r="A481" s="28"/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  <c r="AA481" s="28"/>
    </row>
    <row r="482">
      <c r="A482" s="28"/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  <c r="AA482" s="28"/>
    </row>
    <row r="483">
      <c r="A483" s="28"/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  <c r="AA483" s="28"/>
    </row>
    <row r="484">
      <c r="A484" s="28"/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  <c r="AA484" s="28"/>
    </row>
    <row r="485">
      <c r="A485" s="28"/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  <c r="AA485" s="28"/>
    </row>
    <row r="486">
      <c r="A486" s="28"/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  <c r="AA486" s="28"/>
    </row>
    <row r="487">
      <c r="A487" s="28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  <c r="AA487" s="28"/>
    </row>
    <row r="488">
      <c r="A488" s="28"/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  <c r="AA488" s="28"/>
    </row>
    <row r="489">
      <c r="A489" s="28"/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  <c r="AA489" s="28"/>
    </row>
    <row r="490">
      <c r="A490" s="28"/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  <c r="AA490" s="28"/>
    </row>
    <row r="491">
      <c r="A491" s="28"/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  <c r="AA491" s="28"/>
    </row>
    <row r="492">
      <c r="A492" s="28"/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  <c r="AA492" s="28"/>
    </row>
    <row r="493">
      <c r="A493" s="28"/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  <c r="AA493" s="28"/>
    </row>
    <row r="494">
      <c r="A494" s="28"/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  <c r="AA494" s="28"/>
    </row>
    <row r="495">
      <c r="A495" s="28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  <c r="AA495" s="28"/>
    </row>
    <row r="496">
      <c r="A496" s="28"/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  <c r="AA496" s="28"/>
    </row>
    <row r="497">
      <c r="A497" s="28"/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  <c r="AA497" s="28"/>
    </row>
    <row r="498">
      <c r="A498" s="28"/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  <c r="AA498" s="28"/>
    </row>
    <row r="499">
      <c r="A499" s="28"/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  <c r="AA499" s="28"/>
    </row>
    <row r="500">
      <c r="A500" s="28"/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  <c r="AA500" s="28"/>
    </row>
    <row r="501">
      <c r="A501" s="28"/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  <c r="AA501" s="28"/>
    </row>
    <row r="502">
      <c r="A502" s="28"/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  <c r="AA502" s="28"/>
    </row>
    <row r="503">
      <c r="A503" s="28"/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  <c r="AA503" s="28"/>
    </row>
    <row r="504">
      <c r="A504" s="28"/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  <c r="AA504" s="28"/>
    </row>
    <row r="505">
      <c r="A505" s="28"/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  <c r="AA505" s="28"/>
    </row>
    <row r="506">
      <c r="A506" s="28"/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  <c r="AA506" s="28"/>
    </row>
    <row r="507">
      <c r="A507" s="28"/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  <c r="AA507" s="28"/>
    </row>
    <row r="508">
      <c r="A508" s="28"/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  <c r="AA508" s="28"/>
    </row>
    <row r="509">
      <c r="A509" s="28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  <c r="AA509" s="28"/>
    </row>
    <row r="510">
      <c r="A510" s="28"/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  <c r="AA510" s="28"/>
    </row>
    <row r="511">
      <c r="A511" s="28"/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  <c r="AA511" s="28"/>
    </row>
    <row r="512">
      <c r="A512" s="28"/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  <c r="AA512" s="28"/>
    </row>
    <row r="513">
      <c r="A513" s="28"/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  <c r="AA513" s="28"/>
    </row>
    <row r="514">
      <c r="A514" s="28"/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  <c r="AA514" s="28"/>
    </row>
    <row r="515">
      <c r="A515" s="28"/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  <c r="AA515" s="28"/>
    </row>
    <row r="516">
      <c r="A516" s="28"/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  <c r="AA516" s="28"/>
    </row>
    <row r="517">
      <c r="A517" s="28"/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  <c r="AA517" s="28"/>
    </row>
    <row r="518">
      <c r="A518" s="28"/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  <c r="AA518" s="28"/>
    </row>
    <row r="519">
      <c r="A519" s="28"/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  <c r="AA519" s="28"/>
    </row>
    <row r="520">
      <c r="A520" s="28"/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  <c r="AA520" s="28"/>
    </row>
    <row r="521">
      <c r="A521" s="28"/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  <c r="AA521" s="28"/>
    </row>
    <row r="522">
      <c r="A522" s="28"/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  <c r="AA522" s="28"/>
    </row>
    <row r="523">
      <c r="A523" s="28"/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  <c r="AA523" s="28"/>
    </row>
    <row r="524">
      <c r="A524" s="28"/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  <c r="AA524" s="28"/>
    </row>
    <row r="525">
      <c r="A525" s="28"/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  <c r="AA525" s="28"/>
    </row>
    <row r="526">
      <c r="A526" s="28"/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  <c r="AA526" s="28"/>
    </row>
    <row r="527">
      <c r="A527" s="28"/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  <c r="AA527" s="28"/>
    </row>
    <row r="528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  <c r="AA528" s="28"/>
    </row>
    <row r="529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  <c r="AA529" s="28"/>
    </row>
    <row r="530">
      <c r="A530" s="28"/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  <c r="AA530" s="28"/>
    </row>
    <row r="531">
      <c r="A531" s="28"/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  <c r="AA531" s="28"/>
    </row>
    <row r="532">
      <c r="A532" s="28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  <c r="AA532" s="28"/>
    </row>
    <row r="533">
      <c r="A533" s="28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  <c r="AA533" s="28"/>
    </row>
    <row r="534">
      <c r="A534" s="28"/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  <c r="AA534" s="28"/>
    </row>
    <row r="535">
      <c r="A535" s="28"/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  <c r="AA535" s="28"/>
    </row>
    <row r="536">
      <c r="A536" s="28"/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  <c r="AA536" s="28"/>
    </row>
    <row r="537">
      <c r="A537" s="28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  <c r="AA537" s="28"/>
    </row>
    <row r="538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  <c r="AA538" s="28"/>
    </row>
    <row r="539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  <c r="AA539" s="28"/>
    </row>
    <row r="540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  <c r="AA540" s="28"/>
    </row>
    <row r="541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  <c r="AA541" s="28"/>
    </row>
    <row r="542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  <c r="AA542" s="28"/>
    </row>
    <row r="543">
      <c r="A543" s="28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  <c r="AA543" s="28"/>
    </row>
    <row r="544">
      <c r="A544" s="28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  <c r="AA544" s="28"/>
    </row>
    <row r="545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  <c r="AA545" s="28"/>
    </row>
    <row r="546">
      <c r="A546" s="28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  <c r="AA546" s="28"/>
    </row>
    <row r="547">
      <c r="A547" s="28"/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  <c r="AA547" s="28"/>
    </row>
    <row r="548">
      <c r="A548" s="28"/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  <c r="AA548" s="28"/>
    </row>
    <row r="549">
      <c r="A549" s="28"/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  <c r="AA549" s="28"/>
    </row>
    <row r="550">
      <c r="A550" s="28"/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  <c r="AA550" s="28"/>
    </row>
    <row r="551">
      <c r="A551" s="28"/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  <c r="AA551" s="28"/>
    </row>
    <row r="552">
      <c r="A552" s="28"/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  <c r="AA552" s="28"/>
    </row>
    <row r="553">
      <c r="A553" s="28"/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  <c r="AA553" s="28"/>
    </row>
    <row r="554">
      <c r="A554" s="28"/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  <c r="AA554" s="28"/>
    </row>
    <row r="555">
      <c r="A555" s="28"/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  <c r="AA555" s="28"/>
    </row>
    <row r="556">
      <c r="A556" s="28"/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  <c r="AA556" s="28"/>
    </row>
    <row r="557">
      <c r="A557" s="28"/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  <c r="AA557" s="28"/>
    </row>
    <row r="558">
      <c r="A558" s="28"/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  <c r="AA558" s="28"/>
    </row>
    <row r="559">
      <c r="A559" s="28"/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  <c r="AA559" s="28"/>
    </row>
    <row r="560">
      <c r="A560" s="28"/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  <c r="AA560" s="28"/>
    </row>
    <row r="561">
      <c r="A561" s="28"/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  <c r="AA561" s="28"/>
    </row>
    <row r="562">
      <c r="A562" s="28"/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  <c r="AA562" s="28"/>
    </row>
    <row r="563">
      <c r="A563" s="28"/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  <c r="AA563" s="28"/>
    </row>
    <row r="564">
      <c r="A564" s="28"/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  <c r="AA564" s="28"/>
    </row>
    <row r="565">
      <c r="A565" s="28"/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  <c r="AA565" s="28"/>
    </row>
    <row r="566">
      <c r="A566" s="28"/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  <c r="AA566" s="28"/>
    </row>
    <row r="567">
      <c r="A567" s="28"/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  <c r="AA567" s="28"/>
    </row>
    <row r="568">
      <c r="A568" s="28"/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  <c r="AA568" s="28"/>
    </row>
    <row r="569">
      <c r="A569" s="28"/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  <c r="AA569" s="28"/>
    </row>
    <row r="570">
      <c r="A570" s="28"/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  <c r="AA570" s="28"/>
    </row>
    <row r="571">
      <c r="A571" s="28"/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  <c r="AA571" s="28"/>
    </row>
    <row r="572">
      <c r="A572" s="28"/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  <c r="AA572" s="28"/>
    </row>
    <row r="573">
      <c r="A573" s="28"/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  <c r="AA573" s="28"/>
    </row>
    <row r="574">
      <c r="A574" s="28"/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  <c r="AA574" s="28"/>
    </row>
    <row r="575">
      <c r="A575" s="28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  <c r="AA575" s="28"/>
    </row>
    <row r="576">
      <c r="A576" s="28"/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  <c r="AA576" s="28"/>
    </row>
    <row r="577">
      <c r="A577" s="28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  <c r="AA577" s="28"/>
    </row>
    <row r="578">
      <c r="A578" s="28"/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  <c r="AA578" s="28"/>
    </row>
    <row r="579">
      <c r="A579" s="28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  <c r="AA579" s="28"/>
    </row>
    <row r="580">
      <c r="A580" s="28"/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  <c r="AA580" s="28"/>
    </row>
    <row r="581">
      <c r="A581" s="28"/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  <c r="AA581" s="28"/>
    </row>
    <row r="582">
      <c r="A582" s="28"/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  <c r="AA582" s="28"/>
    </row>
    <row r="583">
      <c r="A583" s="28"/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  <c r="AA583" s="28"/>
    </row>
    <row r="584">
      <c r="A584" s="28"/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  <c r="AA584" s="28"/>
    </row>
    <row r="585">
      <c r="A585" s="28"/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  <c r="AA585" s="28"/>
    </row>
    <row r="586">
      <c r="A586" s="28"/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  <c r="AA586" s="28"/>
    </row>
    <row r="587">
      <c r="A587" s="28"/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  <c r="AA587" s="28"/>
    </row>
    <row r="588">
      <c r="A588" s="28"/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  <c r="AA588" s="28"/>
    </row>
    <row r="589">
      <c r="A589" s="28"/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  <c r="AA589" s="28"/>
    </row>
    <row r="590">
      <c r="A590" s="28"/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  <c r="AA590" s="28"/>
    </row>
    <row r="591">
      <c r="A591" s="28"/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  <c r="AA591" s="28"/>
    </row>
    <row r="592">
      <c r="A592" s="28"/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  <c r="AA592" s="28"/>
    </row>
    <row r="593">
      <c r="A593" s="28"/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  <c r="AA593" s="28"/>
    </row>
    <row r="594">
      <c r="A594" s="28"/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  <c r="AA594" s="28"/>
    </row>
    <row r="595">
      <c r="A595" s="28"/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  <c r="AA595" s="28"/>
    </row>
    <row r="596">
      <c r="A596" s="28"/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  <c r="AA596" s="28"/>
    </row>
    <row r="597">
      <c r="A597" s="28"/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  <c r="AA597" s="28"/>
    </row>
    <row r="598">
      <c r="A598" s="28"/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  <c r="AA598" s="28"/>
    </row>
    <row r="599">
      <c r="A599" s="28"/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  <c r="AA599" s="28"/>
    </row>
    <row r="600">
      <c r="A600" s="28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  <c r="AA600" s="28"/>
    </row>
    <row r="601">
      <c r="A601" s="28"/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  <c r="AA601" s="28"/>
    </row>
    <row r="602">
      <c r="A602" s="28"/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  <c r="AA602" s="28"/>
    </row>
    <row r="603">
      <c r="A603" s="28"/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  <c r="AA603" s="28"/>
    </row>
    <row r="604">
      <c r="A604" s="28"/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  <c r="AA604" s="28"/>
    </row>
    <row r="605">
      <c r="A605" s="28"/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  <c r="AA605" s="28"/>
    </row>
    <row r="606">
      <c r="A606" s="28"/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  <c r="AA606" s="28"/>
    </row>
    <row r="607">
      <c r="A607" s="28"/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  <c r="AA607" s="28"/>
    </row>
    <row r="608">
      <c r="A608" s="28"/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  <c r="AA608" s="28"/>
    </row>
    <row r="609">
      <c r="A609" s="28"/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  <c r="AA609" s="28"/>
    </row>
    <row r="610">
      <c r="A610" s="28"/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  <c r="AA610" s="28"/>
    </row>
    <row r="611">
      <c r="A611" s="28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  <c r="AA611" s="28"/>
    </row>
    <row r="612">
      <c r="A612" s="28"/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  <c r="AA612" s="28"/>
    </row>
    <row r="613">
      <c r="A613" s="28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  <c r="AA613" s="28"/>
    </row>
    <row r="614">
      <c r="A614" s="28"/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  <c r="AA614" s="28"/>
    </row>
    <row r="615">
      <c r="A615" s="28"/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  <c r="AA615" s="28"/>
    </row>
    <row r="616">
      <c r="A616" s="28"/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  <c r="AA616" s="28"/>
    </row>
    <row r="617">
      <c r="A617" s="28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  <c r="AA617" s="28"/>
    </row>
    <row r="618">
      <c r="A618" s="28"/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  <c r="AA618" s="28"/>
    </row>
    <row r="619">
      <c r="A619" s="28"/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  <c r="AA619" s="28"/>
    </row>
    <row r="620">
      <c r="A620" s="28"/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  <c r="AA620" s="28"/>
    </row>
    <row r="621">
      <c r="A621" s="28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  <c r="AA621" s="28"/>
    </row>
    <row r="622">
      <c r="A622" s="28"/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  <c r="AA622" s="28"/>
    </row>
    <row r="623">
      <c r="A623" s="28"/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  <c r="AA623" s="28"/>
    </row>
    <row r="624">
      <c r="A624" s="28"/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  <c r="AA624" s="28"/>
    </row>
    <row r="625">
      <c r="A625" s="28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  <c r="AA625" s="28"/>
    </row>
    <row r="626">
      <c r="A626" s="28"/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  <c r="AA626" s="28"/>
    </row>
    <row r="627">
      <c r="A627" s="28"/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  <c r="AA627" s="28"/>
    </row>
    <row r="628">
      <c r="A628" s="28"/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  <c r="AA628" s="28"/>
    </row>
    <row r="629">
      <c r="A629" s="28"/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  <c r="AA629" s="28"/>
    </row>
    <row r="630">
      <c r="A630" s="28"/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  <c r="AA630" s="28"/>
    </row>
    <row r="631">
      <c r="A631" s="28"/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  <c r="AA631" s="28"/>
    </row>
    <row r="632">
      <c r="A632" s="28"/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  <c r="AA632" s="28"/>
    </row>
    <row r="633">
      <c r="A633" s="28"/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  <c r="AA633" s="28"/>
    </row>
    <row r="634">
      <c r="A634" s="28"/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  <c r="AA634" s="28"/>
    </row>
    <row r="635">
      <c r="A635" s="28"/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  <c r="AA635" s="28"/>
    </row>
    <row r="636">
      <c r="A636" s="28"/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  <c r="AA636" s="28"/>
    </row>
    <row r="637">
      <c r="A637" s="28"/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  <c r="AA637" s="28"/>
    </row>
    <row r="638">
      <c r="A638" s="28"/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  <c r="AA638" s="28"/>
    </row>
    <row r="639">
      <c r="A639" s="28"/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  <c r="AA639" s="28"/>
    </row>
    <row r="640">
      <c r="A640" s="28"/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  <c r="AA640" s="28"/>
    </row>
    <row r="641">
      <c r="A641" s="28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  <c r="AA641" s="28"/>
    </row>
    <row r="642">
      <c r="A642" s="28"/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  <c r="AA642" s="28"/>
    </row>
    <row r="643">
      <c r="A643" s="28"/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  <c r="AA643" s="28"/>
    </row>
    <row r="644">
      <c r="A644" s="28"/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  <c r="AA644" s="28"/>
    </row>
    <row r="645">
      <c r="A645" s="28"/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  <c r="AA645" s="28"/>
    </row>
    <row r="646">
      <c r="A646" s="28"/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  <c r="AA646" s="28"/>
    </row>
    <row r="647">
      <c r="A647" s="28"/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  <c r="AA647" s="28"/>
    </row>
    <row r="648">
      <c r="A648" s="28"/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  <c r="AA648" s="28"/>
    </row>
    <row r="649">
      <c r="A649" s="28"/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  <c r="AA649" s="28"/>
    </row>
    <row r="650">
      <c r="A650" s="28"/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  <c r="AA650" s="28"/>
    </row>
    <row r="651">
      <c r="A651" s="28"/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  <c r="AA651" s="28"/>
    </row>
    <row r="652">
      <c r="A652" s="28"/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  <c r="AA652" s="28"/>
    </row>
    <row r="653">
      <c r="A653" s="28"/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  <c r="AA653" s="28"/>
    </row>
    <row r="654">
      <c r="A654" s="28"/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  <c r="AA654" s="28"/>
    </row>
    <row r="655">
      <c r="A655" s="28"/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  <c r="AA655" s="28"/>
    </row>
    <row r="656">
      <c r="A656" s="28"/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  <c r="AA656" s="28"/>
    </row>
    <row r="657">
      <c r="A657" s="28"/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  <c r="AA657" s="28"/>
    </row>
    <row r="658">
      <c r="A658" s="28"/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  <c r="AA658" s="28"/>
    </row>
    <row r="659">
      <c r="A659" s="28"/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  <c r="AA659" s="28"/>
    </row>
    <row r="660">
      <c r="A660" s="28"/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  <c r="AA660" s="28"/>
    </row>
    <row r="661">
      <c r="A661" s="28"/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  <c r="AA661" s="28"/>
    </row>
    <row r="662">
      <c r="A662" s="28"/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  <c r="AA662" s="28"/>
    </row>
    <row r="663">
      <c r="A663" s="28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  <c r="AA663" s="28"/>
    </row>
    <row r="664">
      <c r="A664" s="28"/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  <c r="AA664" s="28"/>
    </row>
    <row r="665">
      <c r="A665" s="28"/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  <c r="AA665" s="28"/>
    </row>
    <row r="666">
      <c r="A666" s="28"/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  <c r="AA666" s="28"/>
    </row>
    <row r="667">
      <c r="A667" s="28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  <c r="AA667" s="28"/>
    </row>
    <row r="668">
      <c r="A668" s="28"/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  <c r="AA668" s="28"/>
    </row>
    <row r="669">
      <c r="A669" s="28"/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  <c r="AA669" s="28"/>
    </row>
    <row r="670">
      <c r="A670" s="28"/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  <c r="AA670" s="28"/>
    </row>
    <row r="671">
      <c r="A671" s="28"/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  <c r="AA671" s="28"/>
    </row>
    <row r="672">
      <c r="A672" s="28"/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  <c r="AA672" s="28"/>
    </row>
    <row r="673">
      <c r="A673" s="28"/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  <c r="AA673" s="28"/>
    </row>
    <row r="674">
      <c r="A674" s="28"/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  <c r="AA674" s="28"/>
    </row>
    <row r="675">
      <c r="A675" s="28"/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  <c r="AA675" s="28"/>
    </row>
    <row r="676">
      <c r="A676" s="28"/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  <c r="AA676" s="28"/>
    </row>
    <row r="677">
      <c r="A677" s="28"/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  <c r="AA677" s="28"/>
    </row>
    <row r="678">
      <c r="A678" s="28"/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  <c r="AA678" s="28"/>
    </row>
    <row r="679">
      <c r="A679" s="28"/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  <c r="AA679" s="28"/>
    </row>
    <row r="680">
      <c r="A680" s="28"/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  <c r="AA680" s="28"/>
    </row>
    <row r="681">
      <c r="A681" s="28"/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  <c r="AA681" s="28"/>
    </row>
    <row r="682">
      <c r="A682" s="28"/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  <c r="AA682" s="28"/>
    </row>
    <row r="683">
      <c r="A683" s="28"/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  <c r="AA683" s="28"/>
    </row>
    <row r="684">
      <c r="A684" s="28"/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  <c r="AA684" s="28"/>
    </row>
    <row r="685">
      <c r="A685" s="28"/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  <c r="AA685" s="28"/>
    </row>
    <row r="686">
      <c r="A686" s="28"/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  <c r="AA686" s="28"/>
    </row>
    <row r="687">
      <c r="A687" s="28"/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  <c r="AA687" s="28"/>
    </row>
    <row r="688">
      <c r="A688" s="28"/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  <c r="AA688" s="28"/>
    </row>
    <row r="689">
      <c r="A689" s="28"/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  <c r="AA689" s="28"/>
    </row>
    <row r="690">
      <c r="A690" s="28"/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  <c r="AA690" s="28"/>
    </row>
    <row r="691">
      <c r="A691" s="28"/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  <c r="AA691" s="28"/>
    </row>
    <row r="692">
      <c r="A692" s="28"/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  <c r="AA692" s="28"/>
    </row>
    <row r="693">
      <c r="A693" s="28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  <c r="AA693" s="28"/>
    </row>
    <row r="694">
      <c r="A694" s="28"/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  <c r="AA694" s="28"/>
    </row>
    <row r="695">
      <c r="A695" s="28"/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  <c r="AA695" s="28"/>
    </row>
    <row r="696">
      <c r="A696" s="28"/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  <c r="AA696" s="28"/>
    </row>
    <row r="697">
      <c r="A697" s="28"/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  <c r="AA697" s="28"/>
    </row>
    <row r="698">
      <c r="A698" s="28"/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  <c r="AA698" s="28"/>
    </row>
    <row r="699">
      <c r="A699" s="28"/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  <c r="AA699" s="28"/>
    </row>
    <row r="700">
      <c r="A700" s="28"/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  <c r="AA700" s="28"/>
    </row>
    <row r="701">
      <c r="A701" s="28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  <c r="AA701" s="28"/>
    </row>
    <row r="702">
      <c r="A702" s="28"/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  <c r="AA702" s="28"/>
    </row>
    <row r="703">
      <c r="A703" s="28"/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  <c r="AA703" s="28"/>
    </row>
    <row r="704">
      <c r="A704" s="28"/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  <c r="AA704" s="28"/>
    </row>
    <row r="705">
      <c r="A705" s="28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  <c r="AA705" s="28"/>
    </row>
    <row r="706">
      <c r="A706" s="28"/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  <c r="AA706" s="28"/>
    </row>
    <row r="707">
      <c r="A707" s="28"/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  <c r="AA707" s="28"/>
    </row>
    <row r="708">
      <c r="A708" s="28"/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  <c r="AA708" s="28"/>
    </row>
    <row r="709">
      <c r="A709" s="28"/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  <c r="AA709" s="28"/>
    </row>
    <row r="710">
      <c r="A710" s="28"/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  <c r="AA710" s="28"/>
    </row>
    <row r="711">
      <c r="A711" s="28"/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  <c r="AA711" s="28"/>
    </row>
    <row r="712">
      <c r="A712" s="28"/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  <c r="AA712" s="28"/>
    </row>
    <row r="713">
      <c r="A713" s="28"/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  <c r="AA713" s="28"/>
    </row>
    <row r="714">
      <c r="A714" s="28"/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  <c r="AA714" s="28"/>
    </row>
    <row r="715">
      <c r="A715" s="28"/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  <c r="AA715" s="28"/>
    </row>
    <row r="716">
      <c r="A716" s="28"/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  <c r="AA716" s="28"/>
    </row>
    <row r="717">
      <c r="A717" s="28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  <c r="AA717" s="28"/>
    </row>
    <row r="718">
      <c r="A718" s="28"/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  <c r="AA718" s="28"/>
    </row>
    <row r="719">
      <c r="A719" s="28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  <c r="AA719" s="28"/>
    </row>
    <row r="720">
      <c r="A720" s="28"/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  <c r="AA720" s="28"/>
    </row>
    <row r="721">
      <c r="A721" s="28"/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  <c r="AA721" s="28"/>
    </row>
    <row r="722">
      <c r="A722" s="28"/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  <c r="AA722" s="28"/>
    </row>
    <row r="723">
      <c r="A723" s="28"/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  <c r="AA723" s="28"/>
    </row>
    <row r="724">
      <c r="A724" s="28"/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  <c r="AA724" s="28"/>
    </row>
    <row r="725">
      <c r="A725" s="28"/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  <c r="AA725" s="28"/>
    </row>
    <row r="726">
      <c r="A726" s="28"/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  <c r="AA726" s="28"/>
    </row>
    <row r="727">
      <c r="A727" s="28"/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  <c r="AA727" s="28"/>
    </row>
    <row r="728">
      <c r="A728" s="28"/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  <c r="AA728" s="28"/>
    </row>
    <row r="729">
      <c r="A729" s="28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  <c r="AA729" s="28"/>
    </row>
    <row r="730">
      <c r="A730" s="28"/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  <c r="AA730" s="28"/>
    </row>
    <row r="731">
      <c r="A731" s="28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  <c r="AA731" s="28"/>
    </row>
    <row r="732">
      <c r="A732" s="28"/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  <c r="AA732" s="28"/>
    </row>
    <row r="733">
      <c r="A733" s="28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  <c r="AA733" s="28"/>
    </row>
    <row r="734">
      <c r="A734" s="28"/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  <c r="AA734" s="28"/>
    </row>
    <row r="735">
      <c r="A735" s="28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  <c r="AA735" s="28"/>
    </row>
    <row r="736">
      <c r="A736" s="28"/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  <c r="AA736" s="28"/>
    </row>
    <row r="737">
      <c r="A737" s="28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  <c r="AA737" s="28"/>
    </row>
    <row r="738">
      <c r="A738" s="28"/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  <c r="AA738" s="28"/>
    </row>
    <row r="739">
      <c r="A739" s="28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  <c r="AA739" s="28"/>
    </row>
    <row r="740">
      <c r="A740" s="28"/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  <c r="AA740" s="28"/>
    </row>
    <row r="741">
      <c r="A741" s="28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  <c r="AA741" s="28"/>
    </row>
    <row r="742">
      <c r="A742" s="28"/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  <c r="AA742" s="28"/>
    </row>
    <row r="743">
      <c r="A743" s="28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  <c r="AA743" s="28"/>
    </row>
    <row r="744">
      <c r="A744" s="28"/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  <c r="AA744" s="28"/>
    </row>
    <row r="745">
      <c r="A745" s="28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  <c r="AA745" s="28"/>
    </row>
    <row r="746">
      <c r="A746" s="28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  <c r="AA746" s="28"/>
    </row>
    <row r="747">
      <c r="A747" s="28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  <c r="AA747" s="28"/>
    </row>
    <row r="748">
      <c r="A748" s="28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  <c r="AA748" s="28"/>
    </row>
    <row r="749">
      <c r="A749" s="28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  <c r="AA749" s="28"/>
    </row>
    <row r="750">
      <c r="A750" s="28"/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  <c r="AA750" s="28"/>
    </row>
    <row r="751">
      <c r="A751" s="28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  <c r="AA751" s="28"/>
    </row>
    <row r="752">
      <c r="A752" s="28"/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  <c r="AA752" s="28"/>
    </row>
    <row r="753">
      <c r="A753" s="28"/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  <c r="AA753" s="28"/>
    </row>
    <row r="754">
      <c r="A754" s="28"/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  <c r="AA754" s="28"/>
    </row>
    <row r="755">
      <c r="A755" s="28"/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  <c r="AA755" s="28"/>
    </row>
    <row r="756">
      <c r="A756" s="28"/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  <c r="AA756" s="28"/>
    </row>
    <row r="757">
      <c r="A757" s="28"/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  <c r="AA757" s="28"/>
    </row>
    <row r="758">
      <c r="A758" s="28"/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  <c r="AA758" s="28"/>
    </row>
    <row r="759">
      <c r="A759" s="28"/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  <c r="AA759" s="28"/>
    </row>
    <row r="760">
      <c r="A760" s="28"/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  <c r="AA760" s="28"/>
    </row>
    <row r="761">
      <c r="A761" s="28"/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  <c r="AA761" s="28"/>
    </row>
    <row r="762">
      <c r="A762" s="28"/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  <c r="AA762" s="28"/>
    </row>
    <row r="763">
      <c r="A763" s="28"/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  <c r="AA763" s="28"/>
    </row>
    <row r="764">
      <c r="A764" s="28"/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  <c r="AA764" s="28"/>
    </row>
    <row r="765">
      <c r="A765" s="28"/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  <c r="AA765" s="28"/>
    </row>
    <row r="766">
      <c r="A766" s="28"/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  <c r="AA766" s="28"/>
    </row>
    <row r="767">
      <c r="A767" s="28"/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  <c r="AA767" s="28"/>
    </row>
    <row r="768">
      <c r="A768" s="28"/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  <c r="AA768" s="28"/>
    </row>
    <row r="769">
      <c r="A769" s="28"/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  <c r="AA769" s="28"/>
    </row>
    <row r="770">
      <c r="A770" s="28"/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  <c r="AA770" s="28"/>
    </row>
    <row r="771">
      <c r="A771" s="28"/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  <c r="AA771" s="28"/>
    </row>
    <row r="772">
      <c r="A772" s="28"/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  <c r="AA772" s="28"/>
    </row>
    <row r="773">
      <c r="A773" s="28"/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  <c r="AA773" s="28"/>
    </row>
    <row r="774">
      <c r="A774" s="28"/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  <c r="AA774" s="28"/>
    </row>
    <row r="775">
      <c r="A775" s="28"/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  <c r="AA775" s="28"/>
    </row>
    <row r="776">
      <c r="A776" s="28"/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  <c r="AA776" s="28"/>
    </row>
    <row r="777">
      <c r="A777" s="28"/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  <c r="AA777" s="28"/>
    </row>
    <row r="778">
      <c r="A778" s="28"/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  <c r="AA778" s="28"/>
    </row>
    <row r="779">
      <c r="A779" s="28"/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  <c r="AA779" s="28"/>
    </row>
    <row r="780">
      <c r="A780" s="28"/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  <c r="AA780" s="28"/>
    </row>
    <row r="781">
      <c r="A781" s="28"/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  <c r="AA781" s="28"/>
    </row>
    <row r="782">
      <c r="A782" s="28"/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  <c r="AA782" s="28"/>
    </row>
    <row r="783">
      <c r="A783" s="28"/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  <c r="AA783" s="28"/>
    </row>
    <row r="784">
      <c r="A784" s="28"/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  <c r="AA784" s="28"/>
    </row>
    <row r="785">
      <c r="A785" s="28"/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  <c r="AA785" s="28"/>
    </row>
    <row r="786">
      <c r="A786" s="28"/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  <c r="AA786" s="28"/>
    </row>
    <row r="787">
      <c r="A787" s="28"/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  <c r="AA787" s="28"/>
    </row>
    <row r="788">
      <c r="A788" s="28"/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  <c r="AA788" s="28"/>
    </row>
    <row r="789">
      <c r="A789" s="28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  <c r="AA789" s="28"/>
    </row>
    <row r="790">
      <c r="A790" s="28"/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  <c r="AA790" s="28"/>
    </row>
    <row r="791">
      <c r="A791" s="28"/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  <c r="AA791" s="28"/>
    </row>
    <row r="792">
      <c r="A792" s="28"/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  <c r="AA792" s="28"/>
    </row>
    <row r="793">
      <c r="A793" s="28"/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  <c r="AA793" s="28"/>
    </row>
    <row r="794">
      <c r="A794" s="28"/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  <c r="AA794" s="28"/>
    </row>
    <row r="795">
      <c r="A795" s="28"/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  <c r="AA795" s="28"/>
    </row>
    <row r="796">
      <c r="A796" s="28"/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  <c r="AA796" s="28"/>
    </row>
    <row r="797">
      <c r="A797" s="28"/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  <c r="AA797" s="28"/>
    </row>
    <row r="798">
      <c r="A798" s="28"/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  <c r="AA798" s="28"/>
    </row>
    <row r="799">
      <c r="A799" s="28"/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  <c r="AA799" s="28"/>
    </row>
    <row r="800">
      <c r="A800" s="28"/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  <c r="AA800" s="28"/>
    </row>
    <row r="801">
      <c r="A801" s="28"/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  <c r="AA801" s="28"/>
    </row>
    <row r="802">
      <c r="A802" s="28"/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  <c r="AA802" s="28"/>
    </row>
    <row r="803">
      <c r="A803" s="28"/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  <c r="AA803" s="28"/>
    </row>
    <row r="804">
      <c r="A804" s="28"/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  <c r="AA804" s="28"/>
    </row>
    <row r="805">
      <c r="A805" s="28"/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  <c r="AA805" s="28"/>
    </row>
    <row r="806">
      <c r="A806" s="28"/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  <c r="AA806" s="28"/>
    </row>
    <row r="807">
      <c r="A807" s="28"/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  <c r="AA807" s="28"/>
    </row>
    <row r="808">
      <c r="A808" s="28"/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  <c r="AA808" s="28"/>
    </row>
    <row r="809">
      <c r="A809" s="28"/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  <c r="AA809" s="28"/>
    </row>
    <row r="810">
      <c r="A810" s="28"/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  <c r="AA810" s="28"/>
    </row>
    <row r="811">
      <c r="A811" s="28"/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  <c r="AA811" s="28"/>
    </row>
    <row r="812">
      <c r="A812" s="28"/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  <c r="AA812" s="28"/>
    </row>
    <row r="813">
      <c r="A813" s="28"/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  <c r="AA813" s="28"/>
    </row>
    <row r="814">
      <c r="A814" s="28"/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  <c r="AA814" s="28"/>
    </row>
    <row r="815">
      <c r="A815" s="28"/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  <c r="AA815" s="28"/>
    </row>
    <row r="816">
      <c r="A816" s="28"/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  <c r="AA816" s="28"/>
    </row>
    <row r="817">
      <c r="A817" s="28"/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  <c r="AA817" s="28"/>
    </row>
    <row r="818">
      <c r="A818" s="28"/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  <c r="AA818" s="28"/>
    </row>
    <row r="819">
      <c r="A819" s="28"/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  <c r="AA819" s="28"/>
    </row>
    <row r="820">
      <c r="A820" s="28"/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  <c r="AA820" s="28"/>
    </row>
    <row r="821">
      <c r="A821" s="28"/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  <c r="AA821" s="28"/>
    </row>
    <row r="822">
      <c r="A822" s="28"/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  <c r="AA822" s="28"/>
    </row>
    <row r="823">
      <c r="A823" s="28"/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  <c r="AA823" s="28"/>
    </row>
    <row r="824">
      <c r="A824" s="28"/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  <c r="AA824" s="28"/>
    </row>
    <row r="825">
      <c r="A825" s="28"/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  <c r="AA825" s="28"/>
    </row>
    <row r="826">
      <c r="A826" s="28"/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  <c r="AA826" s="28"/>
    </row>
    <row r="827">
      <c r="A827" s="28"/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  <c r="AA827" s="28"/>
    </row>
    <row r="828">
      <c r="A828" s="28"/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  <c r="AA828" s="28"/>
    </row>
    <row r="829">
      <c r="A829" s="28"/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  <c r="AA829" s="28"/>
    </row>
    <row r="830">
      <c r="A830" s="28"/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  <c r="AA830" s="28"/>
    </row>
    <row r="831">
      <c r="A831" s="28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  <c r="AA831" s="28"/>
    </row>
    <row r="832">
      <c r="A832" s="28"/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  <c r="AA832" s="28"/>
    </row>
    <row r="833">
      <c r="A833" s="28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  <c r="AA833" s="28"/>
    </row>
    <row r="834">
      <c r="A834" s="28"/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  <c r="AA834" s="28"/>
    </row>
    <row r="835">
      <c r="A835" s="28"/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  <c r="AA835" s="28"/>
    </row>
    <row r="836">
      <c r="A836" s="28"/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  <c r="AA836" s="28"/>
    </row>
    <row r="837">
      <c r="A837" s="28"/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  <c r="AA837" s="28"/>
    </row>
    <row r="838">
      <c r="A838" s="28"/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  <c r="AA838" s="28"/>
    </row>
    <row r="839">
      <c r="A839" s="28"/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  <c r="AA839" s="28"/>
    </row>
    <row r="840">
      <c r="A840" s="28"/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  <c r="AA840" s="28"/>
    </row>
    <row r="841">
      <c r="A841" s="28"/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  <c r="AA841" s="28"/>
    </row>
    <row r="842">
      <c r="A842" s="28"/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  <c r="AA842" s="28"/>
    </row>
    <row r="843">
      <c r="A843" s="28"/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  <c r="AA843" s="28"/>
    </row>
    <row r="844">
      <c r="A844" s="28"/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  <c r="AA844" s="28"/>
    </row>
    <row r="845">
      <c r="A845" s="28"/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  <c r="AA845" s="28"/>
    </row>
    <row r="846">
      <c r="A846" s="28"/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  <c r="AA846" s="28"/>
    </row>
    <row r="847">
      <c r="A847" s="28"/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  <c r="AA847" s="28"/>
    </row>
    <row r="848">
      <c r="A848" s="28"/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  <c r="AA848" s="28"/>
    </row>
    <row r="849">
      <c r="A849" s="28"/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  <c r="AA849" s="28"/>
    </row>
    <row r="850">
      <c r="A850" s="28"/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  <c r="AA850" s="28"/>
    </row>
    <row r="851">
      <c r="A851" s="28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  <c r="AA851" s="28"/>
    </row>
    <row r="852">
      <c r="A852" s="28"/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  <c r="AA852" s="28"/>
    </row>
    <row r="853">
      <c r="A853" s="28"/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  <c r="AA853" s="28"/>
    </row>
    <row r="854">
      <c r="A854" s="28"/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  <c r="AA854" s="28"/>
    </row>
    <row r="855">
      <c r="A855" s="28"/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  <c r="AA855" s="28"/>
    </row>
    <row r="856">
      <c r="A856" s="28"/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  <c r="AA856" s="28"/>
    </row>
    <row r="857">
      <c r="A857" s="28"/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  <c r="AA857" s="28"/>
    </row>
    <row r="858">
      <c r="A858" s="28"/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  <c r="AA858" s="28"/>
    </row>
    <row r="859">
      <c r="A859" s="28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  <c r="AA859" s="28"/>
    </row>
    <row r="860">
      <c r="A860" s="28"/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  <c r="AA860" s="28"/>
    </row>
    <row r="861">
      <c r="A861" s="28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  <c r="AA861" s="28"/>
    </row>
    <row r="862">
      <c r="A862" s="28"/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  <c r="AA862" s="28"/>
    </row>
    <row r="863">
      <c r="A863" s="28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  <c r="AA863" s="28"/>
    </row>
    <row r="864">
      <c r="A864" s="28"/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  <c r="AA864" s="28"/>
    </row>
    <row r="865">
      <c r="A865" s="28"/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  <c r="AA865" s="28"/>
    </row>
    <row r="866">
      <c r="A866" s="28"/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  <c r="AA866" s="28"/>
    </row>
    <row r="867">
      <c r="A867" s="28"/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  <c r="AA867" s="28"/>
    </row>
    <row r="868">
      <c r="A868" s="28"/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  <c r="AA868" s="28"/>
    </row>
    <row r="869">
      <c r="A869" s="28"/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  <c r="AA869" s="28"/>
    </row>
    <row r="870">
      <c r="A870" s="28"/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  <c r="AA870" s="28"/>
    </row>
    <row r="871">
      <c r="A871" s="28"/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  <c r="AA871" s="28"/>
    </row>
    <row r="872">
      <c r="A872" s="28"/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  <c r="AA872" s="28"/>
    </row>
    <row r="873">
      <c r="A873" s="28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  <c r="AA873" s="28"/>
    </row>
    <row r="874">
      <c r="A874" s="28"/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  <c r="AA874" s="28"/>
    </row>
    <row r="875">
      <c r="A875" s="28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  <c r="AA875" s="28"/>
    </row>
    <row r="876">
      <c r="A876" s="28"/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  <c r="AA876" s="28"/>
    </row>
    <row r="877">
      <c r="A877" s="28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  <c r="AA877" s="28"/>
    </row>
    <row r="878">
      <c r="A878" s="28"/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  <c r="AA878" s="28"/>
    </row>
    <row r="879">
      <c r="A879" s="28"/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  <c r="AA879" s="28"/>
    </row>
    <row r="880">
      <c r="A880" s="28"/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  <c r="AA880" s="28"/>
    </row>
    <row r="881">
      <c r="A881" s="28"/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  <c r="AA881" s="28"/>
    </row>
    <row r="882">
      <c r="A882" s="28"/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  <c r="AA882" s="28"/>
    </row>
    <row r="883">
      <c r="A883" s="28"/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  <c r="AA883" s="28"/>
    </row>
    <row r="884">
      <c r="A884" s="28"/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  <c r="AA884" s="28"/>
    </row>
    <row r="885">
      <c r="A885" s="28"/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  <c r="AA885" s="28"/>
    </row>
    <row r="886">
      <c r="A886" s="28"/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  <c r="AA886" s="28"/>
    </row>
    <row r="887">
      <c r="A887" s="28"/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  <c r="AA887" s="28"/>
    </row>
    <row r="888">
      <c r="A888" s="28"/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  <c r="AA888" s="28"/>
    </row>
    <row r="889">
      <c r="A889" s="28"/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  <c r="AA889" s="28"/>
    </row>
    <row r="890">
      <c r="A890" s="28"/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  <c r="AA890" s="28"/>
    </row>
    <row r="891">
      <c r="A891" s="28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  <c r="AA891" s="28"/>
    </row>
    <row r="892">
      <c r="A892" s="28"/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  <c r="AA892" s="28"/>
    </row>
    <row r="893">
      <c r="A893" s="28"/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  <c r="AA893" s="28"/>
    </row>
    <row r="894">
      <c r="A894" s="28"/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  <c r="AA894" s="28"/>
    </row>
    <row r="895">
      <c r="A895" s="28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  <c r="AA895" s="28"/>
    </row>
    <row r="896">
      <c r="A896" s="28"/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  <c r="AA896" s="28"/>
    </row>
    <row r="897">
      <c r="A897" s="28"/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  <c r="AA897" s="28"/>
    </row>
    <row r="898">
      <c r="A898" s="28"/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  <c r="AA898" s="28"/>
    </row>
    <row r="899">
      <c r="A899" s="28"/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  <c r="AA899" s="28"/>
    </row>
    <row r="900">
      <c r="A900" s="28"/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  <c r="AA900" s="28"/>
    </row>
    <row r="901">
      <c r="A901" s="28"/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  <c r="AA901" s="28"/>
    </row>
    <row r="902">
      <c r="A902" s="28"/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  <c r="AA902" s="28"/>
    </row>
    <row r="903">
      <c r="A903" s="28"/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  <c r="AA903" s="28"/>
    </row>
    <row r="904">
      <c r="A904" s="28"/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  <c r="AA904" s="28"/>
    </row>
    <row r="905">
      <c r="A905" s="28"/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  <c r="AA905" s="28"/>
    </row>
    <row r="906">
      <c r="A906" s="28"/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  <c r="AA906" s="28"/>
    </row>
    <row r="907">
      <c r="A907" s="28"/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  <c r="AA907" s="28"/>
    </row>
    <row r="908">
      <c r="A908" s="28"/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  <c r="AA908" s="28"/>
    </row>
    <row r="909">
      <c r="A909" s="28"/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  <c r="AA909" s="28"/>
    </row>
    <row r="910">
      <c r="A910" s="28"/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  <c r="AA910" s="28"/>
    </row>
    <row r="911">
      <c r="A911" s="28"/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  <c r="AA911" s="28"/>
    </row>
    <row r="912">
      <c r="A912" s="28"/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  <c r="AA912" s="28"/>
    </row>
    <row r="913">
      <c r="A913" s="28"/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  <c r="AA913" s="28"/>
    </row>
    <row r="914">
      <c r="A914" s="28"/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  <c r="AA914" s="28"/>
    </row>
    <row r="915">
      <c r="A915" s="28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  <c r="AA915" s="28"/>
    </row>
    <row r="916">
      <c r="A916" s="28"/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  <c r="AA916" s="28"/>
    </row>
    <row r="917">
      <c r="A917" s="28"/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  <c r="AA917" s="28"/>
    </row>
    <row r="918">
      <c r="A918" s="28"/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  <c r="AA918" s="28"/>
    </row>
    <row r="919">
      <c r="A919" s="28"/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  <c r="AA919" s="28"/>
    </row>
    <row r="920">
      <c r="A920" s="28"/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  <c r="AA920" s="28"/>
    </row>
    <row r="921">
      <c r="A921" s="28"/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  <c r="AA921" s="28"/>
    </row>
    <row r="922">
      <c r="A922" s="28"/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  <c r="AA922" s="28"/>
    </row>
    <row r="923">
      <c r="A923" s="28"/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  <c r="AA923" s="28"/>
    </row>
    <row r="924">
      <c r="A924" s="28"/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  <c r="AA924" s="28"/>
    </row>
    <row r="925">
      <c r="A925" s="28"/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  <c r="AA925" s="28"/>
    </row>
    <row r="926">
      <c r="A926" s="28"/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  <c r="AA926" s="28"/>
    </row>
    <row r="927">
      <c r="A927" s="28"/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  <c r="AA927" s="28"/>
    </row>
    <row r="928">
      <c r="A928" s="28"/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  <c r="AA928" s="28"/>
    </row>
    <row r="929">
      <c r="A929" s="28"/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  <c r="AA929" s="28"/>
    </row>
    <row r="930">
      <c r="A930" s="28"/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  <c r="AA930" s="28"/>
    </row>
    <row r="931">
      <c r="A931" s="28"/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  <c r="AA931" s="28"/>
    </row>
    <row r="932">
      <c r="A932" s="28"/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  <c r="AA932" s="28"/>
    </row>
    <row r="933">
      <c r="A933" s="28"/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  <c r="AA933" s="28"/>
    </row>
    <row r="934">
      <c r="A934" s="28"/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  <c r="AA934" s="28"/>
    </row>
    <row r="935">
      <c r="A935" s="28"/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  <c r="AA935" s="28"/>
    </row>
    <row r="936">
      <c r="A936" s="28"/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  <c r="AA936" s="28"/>
    </row>
    <row r="937">
      <c r="A937" s="28"/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  <c r="AA937" s="28"/>
    </row>
    <row r="938">
      <c r="A938" s="28"/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  <c r="AA938" s="28"/>
    </row>
    <row r="939">
      <c r="A939" s="28"/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  <c r="AA939" s="28"/>
    </row>
    <row r="940">
      <c r="A940" s="28"/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  <c r="AA940" s="28"/>
    </row>
    <row r="941">
      <c r="A941" s="28"/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  <c r="AA941" s="28"/>
    </row>
    <row r="942">
      <c r="A942" s="28"/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  <c r="AA942" s="28"/>
    </row>
    <row r="943">
      <c r="A943" s="28"/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  <c r="AA943" s="28"/>
    </row>
    <row r="944">
      <c r="A944" s="28"/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  <c r="AA944" s="28"/>
    </row>
    <row r="945">
      <c r="A945" s="28"/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  <c r="AA945" s="28"/>
    </row>
    <row r="946">
      <c r="A946" s="28"/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  <c r="AA946" s="28"/>
    </row>
    <row r="947">
      <c r="A947" s="28"/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  <c r="AA947" s="28"/>
    </row>
    <row r="948">
      <c r="A948" s="28"/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  <c r="AA948" s="28"/>
    </row>
    <row r="949">
      <c r="A949" s="28"/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  <c r="AA949" s="28"/>
    </row>
    <row r="950">
      <c r="A950" s="28"/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  <c r="AA950" s="28"/>
    </row>
    <row r="951">
      <c r="A951" s="28"/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  <c r="AA951" s="28"/>
    </row>
    <row r="952">
      <c r="A952" s="28"/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  <c r="AA952" s="28"/>
    </row>
    <row r="953">
      <c r="A953" s="28"/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  <c r="AA953" s="28"/>
    </row>
    <row r="954">
      <c r="A954" s="28"/>
      <c r="B954" s="28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  <c r="AA954" s="28"/>
    </row>
    <row r="955">
      <c r="A955" s="28"/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  <c r="AA955" s="28"/>
    </row>
    <row r="956">
      <c r="A956" s="28"/>
      <c r="B956" s="28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  <c r="AA956" s="28"/>
    </row>
    <row r="957">
      <c r="A957" s="28"/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  <c r="AA957" s="28"/>
    </row>
    <row r="958">
      <c r="A958" s="28"/>
      <c r="B958" s="28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  <c r="AA958" s="28"/>
    </row>
    <row r="959">
      <c r="A959" s="28"/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  <c r="AA959" s="28"/>
    </row>
    <row r="960">
      <c r="A960" s="28"/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  <c r="AA960" s="28"/>
    </row>
    <row r="961">
      <c r="A961" s="28"/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  <c r="AA961" s="28"/>
    </row>
    <row r="962">
      <c r="A962" s="28"/>
      <c r="B962" s="28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  <c r="AA962" s="28"/>
    </row>
    <row r="963">
      <c r="A963" s="28"/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  <c r="AA963" s="28"/>
    </row>
    <row r="964">
      <c r="A964" s="28"/>
      <c r="B964" s="28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  <c r="AA964" s="28"/>
    </row>
    <row r="965">
      <c r="A965" s="28"/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  <c r="AA965" s="28"/>
    </row>
    <row r="966">
      <c r="A966" s="28"/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  <c r="AA966" s="28"/>
    </row>
  </sheetData>
  <mergeCells count="3">
    <mergeCell ref="B2:J2"/>
    <mergeCell ref="B3:J3"/>
    <mergeCell ref="A20:F20"/>
  </mergeCells>
  <drawing r:id="rId1"/>
  <tableParts count="4">
    <tablePart r:id="rId6"/>
    <tablePart r:id="rId7"/>
    <tablePart r:id="rId8"/>
    <tablePart r:id="rId9"/>
  </tableParts>
</worksheet>
</file>