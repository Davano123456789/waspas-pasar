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asar" sheetId="1" r:id="rId5"/>
    <sheet state="visible" name="Perhitungan WASPAS" sheetId="2" r:id="rId6"/>
  </sheets>
  <definedNames/>
  <calcPr/>
</workbook>
</file>

<file path=xl/sharedStrings.xml><?xml version="1.0" encoding="utf-8"?>
<sst xmlns="http://schemas.openxmlformats.org/spreadsheetml/2006/main" count="235" uniqueCount="85">
  <si>
    <t>No</t>
  </si>
  <si>
    <t>Kode</t>
  </si>
  <si>
    <t>Keterangan</t>
  </si>
  <si>
    <t>Sub Kriteria</t>
  </si>
  <si>
    <t>Kriteria</t>
  </si>
  <si>
    <t>Variabel</t>
  </si>
  <si>
    <t>Likert</t>
  </si>
  <si>
    <t>C1</t>
  </si>
  <si>
    <t>Realisasi Retribusi</t>
  </si>
  <si>
    <t>95% – 100%</t>
  </si>
  <si>
    <t>Sangat Baik</t>
  </si>
  <si>
    <t>85% – 94%</t>
  </si>
  <si>
    <t>Baik</t>
  </si>
  <si>
    <t>75% – 84%</t>
  </si>
  <si>
    <t>Cukup Baik</t>
  </si>
  <si>
    <t>60% – 74%</t>
  </si>
  <si>
    <t>Tidak Baik</t>
  </si>
  <si>
    <t>&lt; 60%</t>
  </si>
  <si>
    <t>Sangat Tidak Baik</t>
  </si>
  <si>
    <t>C2</t>
  </si>
  <si>
    <t>Jumlah Pengunjung</t>
  </si>
  <si>
    <t>≥ 1.000 orang per hari</t>
  </si>
  <si>
    <t>751 – 999 orang per hari</t>
  </si>
  <si>
    <t>501 – 750 orang per hari</t>
  </si>
  <si>
    <t>251 – 500 orang per hari</t>
  </si>
  <si>
    <t>≤ 250 orang per hari</t>
  </si>
  <si>
    <t>C3</t>
  </si>
  <si>
    <t>Kebersihan</t>
  </si>
  <si>
    <t>Sangat Baik (Pengelolaan sampah dan limbah sangat baik, tidak ada penumpukan)</t>
  </si>
  <si>
    <t>Baik (Pengelolaan sampah cukup baik, terdapat sedikit penumpukan namun terkendali)</t>
  </si>
  <si>
    <t>Cukup (Pengelolaan sampah kurang konsisten, terdapat beberapa area kotor)</t>
  </si>
  <si>
    <t>Tidak Baik (Sampah sering menumpuk dan kebersihan kurang terjaga)</t>
  </si>
  <si>
    <t>Sangat Tidak Baik (Lingkungan pasar kotor dan pengelolaan limbah tidak berjalan)</t>
  </si>
  <si>
    <t>Pengelolaan sampah dan limbah sangat baik, tidak ada penumpukan</t>
  </si>
  <si>
    <t>C4</t>
  </si>
  <si>
    <t>Keamanan</t>
  </si>
  <si>
    <t>Sangat Baik (Petugas keamanan tersedia dan kondisi pasar sangat aman serta tertib)</t>
  </si>
  <si>
    <t>Pengelolaan sampah cukup baik, terdapat sedikit penumpukan namun terkendali</t>
  </si>
  <si>
    <t>Baik (Petugas keamanan tersedia dan kondisi pasar relatif aman serta terkendali)</t>
  </si>
  <si>
    <t>Pengelolaan sampah kurang konsisten, terdapat beberapa area kotor</t>
  </si>
  <si>
    <t>Cukup (Petugas keamanan tersedia namun jumlahnya terbatas dan kondisi keamanan cukup terjaga)</t>
  </si>
  <si>
    <t>Sampah sering menumpuk dan kebersihan kurang terjaga</t>
  </si>
  <si>
    <t>Tidak Baik (Petugas keamanan kurang memadai dan kondisi keamanan kurang terjaga)</t>
  </si>
  <si>
    <t>Lingkungan pasar kotor dan pengelolaan limbah tidak berjalan</t>
  </si>
  <si>
    <t>Sangat Tidak Baik (Tidak terdapat pengamanan yang memadai dan kondisi pasar tidak aman)</t>
  </si>
  <si>
    <t>C5</t>
  </si>
  <si>
    <t>Kondisi Bangunan</t>
  </si>
  <si>
    <t>Sangat Baik (Struktur bangunan sangat kokoh dan tata letak tertata rapi)</t>
  </si>
  <si>
    <t>Baik (Struktur bangunan baik dan tata letak cukup teratur)</t>
  </si>
  <si>
    <t>Petugas keamanan tersedia dan kondisi pasar sangat aman serta tertib</t>
  </si>
  <si>
    <t>Cukup (Struktur bangunan cukup layak namun tata letak kurang tertata)</t>
  </si>
  <si>
    <t>Petugas keamanan tersedia dan kondisi pasar relatif aman serta terkendali</t>
  </si>
  <si>
    <t>Tidak Baik (Struktur bangunan mulai rusak dan tata letak tidak teratur)</t>
  </si>
  <si>
    <t>Petugas keamanan tersedia namun jumlahnya terbatas dan kondisi keamanan cukup terjaga</t>
  </si>
  <si>
    <t>Sangat Tidak Baik (Bangunan tidak layak digunakan)</t>
  </si>
  <si>
    <t>Petugas keamanan kurang memadai dan kondisi keamanan kurang terjaga</t>
  </si>
  <si>
    <t>Tidak terdapat pengamanan yang memadai dan kondisi pasar tidak aman</t>
  </si>
  <si>
    <t xml:space="preserve">Atribut </t>
  </si>
  <si>
    <t>Bobot</t>
  </si>
  <si>
    <t>Benefit</t>
  </si>
  <si>
    <t>Struktur bangunan sangat kokoh dan tata letak tertata rapi</t>
  </si>
  <si>
    <t>Struktur bangunan baik dan tata letak cukup teratur</t>
  </si>
  <si>
    <t>Struktur bangunan cukup layak namun tata letak kurang tertata</t>
  </si>
  <si>
    <t>Struktur bangunan mulai rusak dan tata letak tidak teratur</t>
  </si>
  <si>
    <t>Bangunan tidak layak digunakan</t>
  </si>
  <si>
    <t>SISTEM PENDUKUNG KEPUTUSAN PEMBERIAN POTONGAN HARGA PELANGGAN</t>
  </si>
  <si>
    <t>Metode EDAS</t>
  </si>
  <si>
    <t xml:space="preserve">Alternatif </t>
  </si>
  <si>
    <t>Kode Kriteria</t>
  </si>
  <si>
    <t>Simo</t>
  </si>
  <si>
    <t>Pabean</t>
  </si>
  <si>
    <t>Babaan</t>
  </si>
  <si>
    <t>Pecindilan</t>
  </si>
  <si>
    <t>Pegirian</t>
  </si>
  <si>
    <t>Atribut</t>
  </si>
  <si>
    <t>A1</t>
  </si>
  <si>
    <t>A2</t>
  </si>
  <si>
    <t>A3</t>
  </si>
  <si>
    <t>A4</t>
  </si>
  <si>
    <t>A5</t>
  </si>
  <si>
    <t>Matriks Normalisasi</t>
  </si>
  <si>
    <t>Si</t>
  </si>
  <si>
    <t>Pi</t>
  </si>
  <si>
    <t>Qi</t>
  </si>
  <si>
    <t>Ranking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</si>
</sst>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3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theme="1"/>
      <name val="Arial"/>
      <scheme val="minor"/>
    </font>
    <font>
      <sz val="12.0"/>
      <color theme="1"/>
      <name val="&quot;Times New Roman&quot;"/>
    </font>
    <font>
      <color theme="1"/>
      <name val="Arial"/>
    </font>
    <font>
      <sz val="13.0"/>
      <color theme="1"/>
      <name val="Arial"/>
    </font>
    <font/>
    <font>
      <sz val="12.0"/>
      <color theme="1"/>
      <name val="Arial"/>
    </font>
    <font>
      <b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8F9FA"/>
        <bgColor rgb="FFF8F9FA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Font="1"/>
    <xf borderId="1" fillId="4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0" fillId="6" fontId="1" numFmtId="0" xfId="0" applyAlignment="1" applyFill="1" applyFont="1">
      <alignment vertical="center"/>
    </xf>
    <xf borderId="1" fillId="0" fontId="1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2" fontId="2" numFmtId="2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6" fontId="1" numFmtId="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top" wrapText="1"/>
    </xf>
    <xf borderId="1" fillId="0" fontId="1" numFmtId="9" xfId="0" applyAlignment="1" applyBorder="1" applyFont="1" applyNumberFormat="1">
      <alignment horizontal="center" readingOrder="0" vertical="center"/>
    </xf>
    <xf borderId="1" fillId="0" fontId="1" numFmtId="9" xfId="0" applyAlignment="1" applyBorder="1" applyFont="1" applyNumberFormat="1">
      <alignment horizontal="center" vertical="center"/>
    </xf>
    <xf borderId="0" fillId="0" fontId="5" numFmtId="2" xfId="0" applyAlignment="1" applyFont="1" applyNumberFormat="1">
      <alignment vertical="bottom"/>
    </xf>
    <xf borderId="2" fillId="7" fontId="6" numFmtId="2" xfId="0" applyAlignment="1" applyBorder="1" applyFill="1" applyFont="1" applyNumberFormat="1">
      <alignment horizontal="center" vertical="bottom"/>
    </xf>
    <xf borderId="3" fillId="0" fontId="7" numFmtId="0" xfId="0" applyBorder="1" applyFont="1"/>
    <xf borderId="4" fillId="0" fontId="7" numFmtId="0" xfId="0" applyBorder="1" applyFont="1"/>
    <xf borderId="0" fillId="0" fontId="5" numFmtId="0" xfId="0" applyAlignment="1" applyFont="1">
      <alignment vertical="bottom"/>
    </xf>
    <xf borderId="2" fillId="3" fontId="8" numFmtId="2" xfId="0" applyAlignment="1" applyBorder="1" applyFont="1" applyNumberFormat="1">
      <alignment horizontal="center" vertical="bottom"/>
    </xf>
    <xf borderId="1" fillId="2" fontId="9" numFmtId="2" xfId="0" applyAlignment="1" applyBorder="1" applyFont="1" applyNumberFormat="1">
      <alignment horizontal="center" vertical="bottom"/>
    </xf>
    <xf borderId="2" fillId="2" fontId="10" numFmtId="2" xfId="0" applyAlignment="1" applyBorder="1" applyFont="1" applyNumberFormat="1">
      <alignment horizontal="center" readingOrder="0" vertical="bottom"/>
    </xf>
    <xf borderId="2" fillId="2" fontId="10" numFmtId="2" xfId="0" applyAlignment="1" applyBorder="1" applyFont="1" applyNumberFormat="1">
      <alignment horizontal="center" vertical="bottom"/>
    </xf>
    <xf borderId="1" fillId="2" fontId="10" numFmtId="2" xfId="0" applyAlignment="1" applyBorder="1" applyFont="1" applyNumberFormat="1">
      <alignment horizontal="center" vertical="bottom"/>
    </xf>
    <xf borderId="1" fillId="7" fontId="11" numFmtId="2" xfId="0" applyAlignment="1" applyBorder="1" applyFont="1" applyNumberFormat="1">
      <alignment horizontal="center" readingOrder="0" vertical="bottom"/>
    </xf>
    <xf borderId="1" fillId="6" fontId="11" numFmtId="10" xfId="0" applyAlignment="1" applyBorder="1" applyFont="1" applyNumberFormat="1">
      <alignment horizontal="center" shrinkToFit="0" wrapText="0"/>
    </xf>
    <xf borderId="1" fillId="6" fontId="11" numFmtId="1" xfId="0" applyAlignment="1" applyBorder="1" applyFont="1" applyNumberFormat="1">
      <alignment readingOrder="0" shrinkToFit="0" wrapText="0"/>
    </xf>
    <xf borderId="1" fillId="6" fontId="11" numFmtId="2" xfId="0" applyAlignment="1" applyBorder="1" applyFont="1" applyNumberFormat="1">
      <alignment readingOrder="0" shrinkToFit="0" wrapText="0"/>
    </xf>
    <xf borderId="1" fillId="0" fontId="12" numFmtId="0" xfId="0" applyAlignment="1" applyBorder="1" applyFont="1">
      <alignment horizontal="center" readingOrder="0"/>
    </xf>
    <xf borderId="1" fillId="0" fontId="5" numFmtId="2" xfId="0" applyAlignment="1" applyBorder="1" applyFont="1" applyNumberFormat="1">
      <alignment horizontal="center"/>
    </xf>
    <xf borderId="1" fillId="6" fontId="5" numFmtId="9" xfId="0" applyAlignment="1" applyBorder="1" applyFont="1" applyNumberFormat="1">
      <alignment horizontal="center" readingOrder="0"/>
    </xf>
    <xf borderId="1" fillId="8" fontId="11" numFmtId="10" xfId="0" applyAlignment="1" applyBorder="1" applyFill="1" applyFont="1" applyNumberFormat="1">
      <alignment horizontal="center" readingOrder="0" shrinkToFit="0" wrapText="0"/>
    </xf>
    <xf borderId="1" fillId="8" fontId="11" numFmtId="1" xfId="0" applyAlignment="1" applyBorder="1" applyFont="1" applyNumberFormat="1">
      <alignment readingOrder="0" shrinkToFit="0" wrapText="0"/>
    </xf>
    <xf borderId="1" fillId="8" fontId="11" numFmtId="2" xfId="0" applyAlignment="1" applyBorder="1" applyFont="1" applyNumberFormat="1">
      <alignment readingOrder="0" shrinkToFit="0" wrapText="0"/>
    </xf>
    <xf borderId="1" fillId="0" fontId="5" numFmtId="9" xfId="0" applyAlignment="1" applyBorder="1" applyFont="1" applyNumberFormat="1">
      <alignment horizontal="center" readingOrder="0"/>
    </xf>
    <xf borderId="1" fillId="6" fontId="11" numFmtId="10" xfId="0" applyAlignment="1" applyBorder="1" applyFont="1" applyNumberFormat="1">
      <alignment horizontal="center" readingOrder="0" shrinkToFit="0" wrapText="0"/>
    </xf>
    <xf borderId="1" fillId="0" fontId="5" numFmtId="9" xfId="0" applyAlignment="1" applyBorder="1" applyFont="1" applyNumberFormat="1">
      <alignment horizontal="center"/>
    </xf>
    <xf borderId="1" fillId="0" fontId="5" numFmtId="2" xfId="0" applyAlignment="1" applyBorder="1" applyFont="1" applyNumberFormat="1">
      <alignment horizontal="center" readingOrder="0" vertical="bottom"/>
    </xf>
    <xf borderId="1" fillId="0" fontId="5" numFmtId="9" xfId="0" applyAlignment="1" applyBorder="1" applyFont="1" applyNumberFormat="1">
      <alignment horizontal="center" readingOrder="0" vertical="bottom"/>
    </xf>
    <xf borderId="1" fillId="9" fontId="10" numFmtId="2" xfId="0" applyAlignment="1" applyBorder="1" applyFill="1" applyFont="1" applyNumberFormat="1">
      <alignment horizontal="center" vertical="bottom"/>
    </xf>
    <xf borderId="1" fillId="7" fontId="5" numFmtId="2" xfId="0" applyAlignment="1" applyBorder="1" applyFont="1" applyNumberFormat="1">
      <alignment horizontal="center" vertical="bottom"/>
    </xf>
    <xf borderId="1" fillId="0" fontId="5" numFmtId="1" xfId="0" applyAlignment="1" applyBorder="1" applyFont="1" applyNumberFormat="1">
      <alignment horizontal="center" readingOrder="0" vertical="bottom"/>
    </xf>
    <xf borderId="1" fillId="0" fontId="5" numFmtId="1" xfId="0" applyAlignment="1" applyBorder="1" applyFont="1" applyNumberFormat="1">
      <alignment horizontal="center" vertical="bottom"/>
    </xf>
    <xf borderId="1" fillId="0" fontId="5" numFmtId="2" xfId="0" applyAlignment="1" applyBorder="1" applyFont="1" applyNumberFormat="1">
      <alignment horizontal="center" vertical="bottom"/>
    </xf>
    <xf borderId="2" fillId="2" fontId="5" numFmtId="4" xfId="0" applyAlignment="1" applyBorder="1" applyFont="1" applyNumberFormat="1">
      <alignment horizontal="center" readingOrder="0" vertical="bottom"/>
    </xf>
    <xf borderId="1" fillId="0" fontId="5" numFmtId="4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horizontal="center" vertical="bottom"/>
    </xf>
    <xf borderId="1" fillId="4" fontId="5" numFmtId="3" xfId="0" applyAlignment="1" applyBorder="1" applyFont="1" applyNumberForma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2" pivot="0" name="Perhitungan WASPAS-style">
      <tableStyleElement dxfId="1" type="firstRowStripe"/>
      <tableStyleElement dxfId="2" type="secondRowStripe"/>
    </tableStyle>
    <tableStyle count="2" pivot="0" name="Perhitungan WASPAS-style 2">
      <tableStyleElement dxfId="1" type="firstRowStripe"/>
      <tableStyleElement dxfId="2" type="secondRowStripe"/>
    </tableStyle>
    <tableStyle count="2" pivot="0" name="Perhitungan WASPAS-style 3">
      <tableStyleElement dxfId="1" type="firstRowStripe"/>
      <tableStyleElement dxfId="2" type="secondRowStripe"/>
    </tableStyle>
    <tableStyle count="2" pivot="0" name="Perhitungan WASPAS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:B11" displayName="Table_1" name="Table_1" id="1">
  <tableColumns count="1">
    <tableColumn name="Column1" id="1"/>
  </tableColumns>
  <tableStyleInfo name="Perhitungan WASPAS-style" showColumnStripes="0" showFirstColumn="1" showLastColumn="1" showRowStripes="1"/>
</table>
</file>

<file path=xl/tables/table2.xml><?xml version="1.0" encoding="utf-8"?>
<table xmlns="http://schemas.openxmlformats.org/spreadsheetml/2006/main" headerRowCount="0" ref="C7:C11" displayName="Table_2" name="Table_2" id="2">
  <tableColumns count="1">
    <tableColumn name="Column1" id="1"/>
  </tableColumns>
  <tableStyleInfo name="Perhitungan WASPAS-style 2" showColumnStripes="0" showFirstColumn="1" showLastColumn="1" showRowStripes="1"/>
</table>
</file>

<file path=xl/tables/table3.xml><?xml version="1.0" encoding="utf-8"?>
<table xmlns="http://schemas.openxmlformats.org/spreadsheetml/2006/main" headerRowCount="0" ref="D7:D11" displayName="Table_3" name="Table_3" id="3">
  <tableColumns count="1">
    <tableColumn name="Column1" id="1"/>
  </tableColumns>
  <tableStyleInfo name="Perhitungan WASPAS-style 3" showColumnStripes="0" showFirstColumn="1" showLastColumn="1" showRowStripes="1"/>
</table>
</file>

<file path=xl/tables/table4.xml><?xml version="1.0" encoding="utf-8"?>
<table xmlns="http://schemas.openxmlformats.org/spreadsheetml/2006/main" headerRowCount="0" ref="E7:F11" displayName="Table_4" name="Table_4" id="4">
  <tableColumns count="2">
    <tableColumn name="Column1" id="1"/>
    <tableColumn name="Column2" id="2"/>
  </tableColumns>
  <tableStyleInfo name="Perhitungan WASPA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41.63"/>
    <col customWidth="1" min="4" max="4" width="33.38"/>
    <col customWidth="1" min="7" max="7" width="20.88"/>
    <col customWidth="1" min="8" max="8" width="39.38"/>
    <col customWidth="1" min="9" max="9" width="40.38"/>
    <col customWidth="1" min="10" max="10" width="14.63"/>
    <col customWidth="1" min="14" max="14" width="5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2" t="s">
        <v>0</v>
      </c>
      <c r="B3" s="3" t="s">
        <v>1</v>
      </c>
      <c r="C3" s="2" t="s">
        <v>2</v>
      </c>
      <c r="D3" s="3" t="s">
        <v>3</v>
      </c>
      <c r="E3" s="1"/>
      <c r="F3" s="4" t="s">
        <v>1</v>
      </c>
      <c r="G3" s="4" t="s">
        <v>4</v>
      </c>
      <c r="H3" s="4" t="s">
        <v>3</v>
      </c>
      <c r="I3" s="4" t="s">
        <v>5</v>
      </c>
      <c r="J3" s="4" t="s">
        <v>6</v>
      </c>
      <c r="K3" s="5"/>
      <c r="L3" s="6"/>
      <c r="M3" s="6"/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7">
        <v>1.0</v>
      </c>
      <c r="B4" s="7" t="s">
        <v>7</v>
      </c>
      <c r="C4" s="8" t="s">
        <v>8</v>
      </c>
      <c r="D4" s="8" t="s">
        <v>9</v>
      </c>
      <c r="E4" s="1"/>
      <c r="F4" s="9" t="s">
        <v>7</v>
      </c>
      <c r="G4" s="10" t="s">
        <v>8</v>
      </c>
      <c r="H4" s="10" t="s">
        <v>9</v>
      </c>
      <c r="I4" s="10" t="s">
        <v>10</v>
      </c>
      <c r="J4" s="11">
        <v>5.0</v>
      </c>
      <c r="K4" s="5"/>
      <c r="L4" s="6"/>
      <c r="M4" s="6"/>
      <c r="N4" s="6"/>
      <c r="O4" s="6"/>
      <c r="P4" s="6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2"/>
      <c r="B5" s="12"/>
      <c r="C5" s="12"/>
      <c r="D5" s="8" t="s">
        <v>11</v>
      </c>
      <c r="E5" s="1"/>
      <c r="F5" s="13"/>
      <c r="G5" s="13"/>
      <c r="H5" s="10" t="s">
        <v>11</v>
      </c>
      <c r="I5" s="10" t="s">
        <v>12</v>
      </c>
      <c r="J5" s="11">
        <v>4.0</v>
      </c>
      <c r="K5" s="5"/>
      <c r="L5" s="6"/>
      <c r="M5" s="6"/>
      <c r="N5" s="6"/>
      <c r="O5" s="6"/>
      <c r="P5" s="6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2"/>
      <c r="B6" s="12"/>
      <c r="C6" s="12"/>
      <c r="D6" s="8" t="s">
        <v>13</v>
      </c>
      <c r="E6" s="1"/>
      <c r="F6" s="13"/>
      <c r="G6" s="13"/>
      <c r="H6" s="10" t="s">
        <v>13</v>
      </c>
      <c r="I6" s="10" t="s">
        <v>14</v>
      </c>
      <c r="J6" s="11">
        <v>3.0</v>
      </c>
      <c r="K6" s="5"/>
      <c r="L6" s="6"/>
      <c r="M6" s="6"/>
      <c r="N6" s="6"/>
      <c r="O6" s="6"/>
      <c r="P6" s="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2"/>
      <c r="B7" s="12"/>
      <c r="C7" s="12"/>
      <c r="D7" s="8" t="s">
        <v>15</v>
      </c>
      <c r="E7" s="1"/>
      <c r="F7" s="13"/>
      <c r="G7" s="13"/>
      <c r="H7" s="10" t="s">
        <v>15</v>
      </c>
      <c r="I7" s="10" t="s">
        <v>16</v>
      </c>
      <c r="J7" s="11">
        <v>2.0</v>
      </c>
      <c r="K7" s="5"/>
      <c r="L7" s="6"/>
      <c r="M7" s="6"/>
      <c r="N7" s="6"/>
      <c r="O7" s="6"/>
      <c r="P7" s="6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2"/>
      <c r="B8" s="12"/>
      <c r="C8" s="12"/>
      <c r="D8" s="8" t="s">
        <v>17</v>
      </c>
      <c r="E8" s="1"/>
      <c r="F8" s="13"/>
      <c r="G8" s="13"/>
      <c r="H8" s="10" t="s">
        <v>17</v>
      </c>
      <c r="I8" s="10" t="s">
        <v>18</v>
      </c>
      <c r="J8" s="11">
        <v>1.0</v>
      </c>
      <c r="K8" s="5"/>
      <c r="L8" s="6"/>
      <c r="M8" s="6"/>
      <c r="N8" s="6"/>
      <c r="O8" s="6"/>
      <c r="P8" s="6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7">
        <v>2.0</v>
      </c>
      <c r="B9" s="7" t="s">
        <v>19</v>
      </c>
      <c r="C9" s="8" t="s">
        <v>20</v>
      </c>
      <c r="D9" s="8" t="s">
        <v>21</v>
      </c>
      <c r="E9" s="1"/>
      <c r="F9" s="5"/>
      <c r="G9" s="5"/>
      <c r="H9" s="5"/>
      <c r="I9" s="5"/>
      <c r="J9" s="5"/>
      <c r="K9" s="5"/>
      <c r="L9" s="6"/>
      <c r="M9" s="6"/>
      <c r="N9" s="6"/>
      <c r="O9" s="6"/>
      <c r="P9" s="6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2"/>
      <c r="B10" s="12"/>
      <c r="C10" s="12"/>
      <c r="D10" s="8" t="s">
        <v>22</v>
      </c>
      <c r="E10" s="1"/>
      <c r="F10" s="4" t="s">
        <v>1</v>
      </c>
      <c r="G10" s="4" t="s">
        <v>4</v>
      </c>
      <c r="H10" s="4" t="s">
        <v>3</v>
      </c>
      <c r="I10" s="4" t="s">
        <v>5</v>
      </c>
      <c r="J10" s="4" t="s">
        <v>6</v>
      </c>
      <c r="K10" s="5"/>
      <c r="L10" s="6"/>
      <c r="M10" s="6"/>
      <c r="N10" s="6"/>
      <c r="O10" s="6"/>
      <c r="P10" s="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2"/>
      <c r="B11" s="12"/>
      <c r="C11" s="12"/>
      <c r="D11" s="8" t="s">
        <v>23</v>
      </c>
      <c r="E11" s="1"/>
      <c r="F11" s="14" t="s">
        <v>19</v>
      </c>
      <c r="G11" s="10" t="s">
        <v>20</v>
      </c>
      <c r="H11" s="10" t="s">
        <v>21</v>
      </c>
      <c r="I11" s="10" t="s">
        <v>10</v>
      </c>
      <c r="J11" s="11">
        <v>5.0</v>
      </c>
      <c r="K11" s="5"/>
      <c r="L11" s="6"/>
      <c r="M11" s="6"/>
      <c r="N11" s="6"/>
      <c r="O11" s="6"/>
      <c r="P11" s="6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2"/>
      <c r="B12" s="12"/>
      <c r="C12" s="12"/>
      <c r="D12" s="8" t="s">
        <v>24</v>
      </c>
      <c r="E12" s="15"/>
      <c r="F12" s="16"/>
      <c r="G12" s="16"/>
      <c r="H12" s="10" t="s">
        <v>22</v>
      </c>
      <c r="I12" s="10" t="s">
        <v>12</v>
      </c>
      <c r="J12" s="17">
        <v>4.0</v>
      </c>
      <c r="K12" s="5"/>
      <c r="L12" s="6"/>
      <c r="M12" s="6"/>
      <c r="N12" s="6"/>
      <c r="O12" s="6"/>
      <c r="P12" s="6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2"/>
      <c r="B13" s="12"/>
      <c r="C13" s="12"/>
      <c r="D13" s="8" t="s">
        <v>25</v>
      </c>
      <c r="E13" s="15"/>
      <c r="F13" s="16"/>
      <c r="G13" s="16"/>
      <c r="H13" s="10" t="s">
        <v>23</v>
      </c>
      <c r="I13" s="10" t="s">
        <v>14</v>
      </c>
      <c r="J13" s="17">
        <v>3.0</v>
      </c>
      <c r="K13" s="5"/>
      <c r="L13" s="6"/>
      <c r="M13" s="6"/>
      <c r="N13" s="6"/>
      <c r="O13" s="6"/>
      <c r="P13" s="6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7">
        <v>3.0</v>
      </c>
      <c r="B14" s="7" t="s">
        <v>26</v>
      </c>
      <c r="C14" s="8" t="s">
        <v>27</v>
      </c>
      <c r="D14" s="18" t="s">
        <v>28</v>
      </c>
      <c r="E14" s="15"/>
      <c r="F14" s="16"/>
      <c r="G14" s="16"/>
      <c r="H14" s="10" t="s">
        <v>24</v>
      </c>
      <c r="I14" s="10" t="s">
        <v>16</v>
      </c>
      <c r="J14" s="17">
        <v>2.0</v>
      </c>
      <c r="K14" s="5"/>
      <c r="L14" s="6"/>
      <c r="M14" s="6"/>
      <c r="N14" s="6"/>
      <c r="O14" s="6"/>
      <c r="P14" s="6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2"/>
      <c r="B15" s="12"/>
      <c r="C15" s="12"/>
      <c r="D15" s="18" t="s">
        <v>29</v>
      </c>
      <c r="E15" s="15"/>
      <c r="F15" s="16"/>
      <c r="G15" s="16"/>
      <c r="H15" s="10" t="s">
        <v>25</v>
      </c>
      <c r="I15" s="10" t="s">
        <v>18</v>
      </c>
      <c r="J15" s="17">
        <v>1.0</v>
      </c>
      <c r="K15" s="5"/>
      <c r="L15" s="6"/>
      <c r="M15" s="6"/>
      <c r="N15" s="6"/>
      <c r="O15" s="6"/>
      <c r="P15" s="6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2"/>
      <c r="B16" s="12"/>
      <c r="C16" s="12"/>
      <c r="D16" s="18" t="s">
        <v>30</v>
      </c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2"/>
      <c r="B17" s="12"/>
      <c r="C17" s="12"/>
      <c r="D17" s="18" t="s">
        <v>31</v>
      </c>
      <c r="E17" s="15"/>
      <c r="F17" s="4" t="s">
        <v>1</v>
      </c>
      <c r="G17" s="4" t="s">
        <v>4</v>
      </c>
      <c r="H17" s="4" t="s">
        <v>3</v>
      </c>
      <c r="I17" s="4" t="s">
        <v>5</v>
      </c>
      <c r="J17" s="4" t="s">
        <v>6</v>
      </c>
      <c r="K17" s="5"/>
      <c r="L17" s="5"/>
      <c r="M17" s="5"/>
      <c r="N17" s="5"/>
      <c r="O17" s="5"/>
      <c r="P17" s="5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2"/>
      <c r="B18" s="12"/>
      <c r="C18" s="12"/>
      <c r="D18" s="18" t="s">
        <v>32</v>
      </c>
      <c r="E18" s="15"/>
      <c r="F18" s="9" t="s">
        <v>26</v>
      </c>
      <c r="G18" s="10" t="s">
        <v>27</v>
      </c>
      <c r="H18" s="18" t="s">
        <v>33</v>
      </c>
      <c r="I18" s="10" t="s">
        <v>10</v>
      </c>
      <c r="J18" s="11">
        <v>5.0</v>
      </c>
      <c r="K18" s="5"/>
      <c r="L18" s="5"/>
      <c r="M18" s="5"/>
      <c r="N18" s="5"/>
      <c r="O18" s="5"/>
      <c r="P18" s="5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7">
        <v>4.0</v>
      </c>
      <c r="B19" s="7" t="s">
        <v>34</v>
      </c>
      <c r="C19" s="8" t="s">
        <v>35</v>
      </c>
      <c r="D19" s="18" t="s">
        <v>36</v>
      </c>
      <c r="E19" s="15"/>
      <c r="F19" s="16"/>
      <c r="G19" s="16"/>
      <c r="H19" s="18" t="s">
        <v>37</v>
      </c>
      <c r="I19" s="10" t="s">
        <v>12</v>
      </c>
      <c r="J19" s="17">
        <v>4.0</v>
      </c>
      <c r="K19" s="5"/>
      <c r="L19" s="5"/>
      <c r="M19" s="5"/>
      <c r="N19" s="5"/>
      <c r="O19" s="5"/>
      <c r="P19" s="5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2"/>
      <c r="B20" s="12"/>
      <c r="C20" s="12"/>
      <c r="D20" s="18" t="s">
        <v>38</v>
      </c>
      <c r="E20" s="15"/>
      <c r="F20" s="16"/>
      <c r="G20" s="16"/>
      <c r="H20" s="18" t="s">
        <v>39</v>
      </c>
      <c r="I20" s="10" t="s">
        <v>14</v>
      </c>
      <c r="J20" s="17">
        <v>3.0</v>
      </c>
      <c r="K20" s="5"/>
      <c r="L20" s="5"/>
      <c r="M20" s="5"/>
      <c r="N20" s="5"/>
      <c r="O20" s="5"/>
      <c r="P20" s="5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2"/>
      <c r="B21" s="12"/>
      <c r="C21" s="12"/>
      <c r="D21" s="18" t="s">
        <v>40</v>
      </c>
      <c r="E21" s="15"/>
      <c r="F21" s="16"/>
      <c r="G21" s="16"/>
      <c r="H21" s="18" t="s">
        <v>41</v>
      </c>
      <c r="I21" s="10" t="s">
        <v>16</v>
      </c>
      <c r="J21" s="17">
        <v>2.0</v>
      </c>
      <c r="K21" s="5"/>
      <c r="L21" s="5"/>
      <c r="M21" s="5"/>
      <c r="N21" s="5"/>
      <c r="O21" s="5"/>
      <c r="P21" s="5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2"/>
      <c r="B22" s="12"/>
      <c r="C22" s="12"/>
      <c r="D22" s="18" t="s">
        <v>42</v>
      </c>
      <c r="E22" s="15"/>
      <c r="F22" s="16"/>
      <c r="G22" s="16"/>
      <c r="H22" s="18" t="s">
        <v>43</v>
      </c>
      <c r="I22" s="10" t="s">
        <v>18</v>
      </c>
      <c r="J22" s="17">
        <v>1.0</v>
      </c>
      <c r="K22" s="5"/>
      <c r="L22" s="5"/>
      <c r="M22" s="5"/>
      <c r="N22" s="5"/>
      <c r="O22" s="5"/>
      <c r="P22" s="5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2"/>
      <c r="B23" s="12"/>
      <c r="C23" s="12"/>
      <c r="D23" s="18" t="s">
        <v>44</v>
      </c>
      <c r="E23" s="1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7">
        <v>5.0</v>
      </c>
      <c r="B24" s="7" t="s">
        <v>45</v>
      </c>
      <c r="C24" s="8" t="s">
        <v>46</v>
      </c>
      <c r="D24" s="18" t="s">
        <v>47</v>
      </c>
      <c r="E24" s="1"/>
      <c r="F24" s="4" t="s">
        <v>1</v>
      </c>
      <c r="G24" s="4" t="s">
        <v>4</v>
      </c>
      <c r="H24" s="4" t="s">
        <v>3</v>
      </c>
      <c r="I24" s="4" t="s">
        <v>5</v>
      </c>
      <c r="J24" s="4" t="s">
        <v>6</v>
      </c>
      <c r="K24" s="6"/>
      <c r="L24" s="6"/>
      <c r="M24" s="6"/>
      <c r="N24" s="6"/>
      <c r="O24" s="6"/>
      <c r="P24" s="6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2"/>
      <c r="B25" s="12"/>
      <c r="C25" s="12"/>
      <c r="D25" s="18" t="s">
        <v>48</v>
      </c>
      <c r="E25" s="1"/>
      <c r="F25" s="14" t="s">
        <v>34</v>
      </c>
      <c r="G25" s="10" t="s">
        <v>35</v>
      </c>
      <c r="H25" s="18" t="s">
        <v>49</v>
      </c>
      <c r="I25" s="10" t="s">
        <v>10</v>
      </c>
      <c r="J25" s="11">
        <v>5.0</v>
      </c>
      <c r="K25" s="6"/>
      <c r="L25" s="6"/>
      <c r="M25" s="6"/>
      <c r="N25" s="6"/>
      <c r="O25" s="6"/>
      <c r="P25" s="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2"/>
      <c r="B26" s="12"/>
      <c r="C26" s="12"/>
      <c r="D26" s="18" t="s">
        <v>50</v>
      </c>
      <c r="E26" s="1"/>
      <c r="F26" s="16"/>
      <c r="G26" s="16"/>
      <c r="H26" s="18" t="s">
        <v>51</v>
      </c>
      <c r="I26" s="10" t="s">
        <v>12</v>
      </c>
      <c r="J26" s="17">
        <v>4.0</v>
      </c>
      <c r="K26" s="6"/>
      <c r="L26" s="6"/>
      <c r="M26" s="6"/>
      <c r="N26" s="6"/>
      <c r="O26" s="6"/>
      <c r="P26" s="6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2"/>
      <c r="B27" s="12"/>
      <c r="C27" s="12"/>
      <c r="D27" s="18" t="s">
        <v>52</v>
      </c>
      <c r="E27" s="1"/>
      <c r="F27" s="16"/>
      <c r="G27" s="16"/>
      <c r="H27" s="18" t="s">
        <v>53</v>
      </c>
      <c r="I27" s="10" t="s">
        <v>14</v>
      </c>
      <c r="J27" s="17">
        <v>3.0</v>
      </c>
      <c r="K27" s="6"/>
      <c r="L27" s="6"/>
      <c r="M27" s="6"/>
      <c r="N27" s="6"/>
      <c r="O27" s="6"/>
      <c r="P27" s="6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2"/>
      <c r="B28" s="12"/>
      <c r="C28" s="12"/>
      <c r="D28" s="18" t="s">
        <v>54</v>
      </c>
      <c r="E28" s="1"/>
      <c r="F28" s="16"/>
      <c r="G28" s="16"/>
      <c r="H28" s="18" t="s">
        <v>55</v>
      </c>
      <c r="I28" s="10" t="s">
        <v>16</v>
      </c>
      <c r="J28" s="17">
        <v>2.0</v>
      </c>
      <c r="K28" s="6"/>
      <c r="L28" s="6"/>
      <c r="M28" s="6"/>
      <c r="N28" s="6"/>
      <c r="O28" s="6"/>
      <c r="P28" s="6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6"/>
      <c r="G29" s="16"/>
      <c r="H29" s="18" t="s">
        <v>56</v>
      </c>
      <c r="I29" s="10" t="s">
        <v>18</v>
      </c>
      <c r="J29" s="17">
        <v>1.0</v>
      </c>
      <c r="K29" s="6"/>
      <c r="L29" s="6"/>
      <c r="M29" s="6"/>
      <c r="N29" s="6"/>
      <c r="O29" s="6"/>
      <c r="P29" s="6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5"/>
      <c r="G30" s="5"/>
      <c r="H30" s="5"/>
      <c r="I30" s="5"/>
      <c r="J30" s="5"/>
      <c r="K30" s="6"/>
      <c r="L30" s="6"/>
      <c r="M30" s="6"/>
      <c r="N30" s="6"/>
      <c r="O30" s="6"/>
      <c r="P30" s="6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3" t="s">
        <v>1</v>
      </c>
      <c r="B31" s="3" t="s">
        <v>4</v>
      </c>
      <c r="C31" s="3" t="s">
        <v>57</v>
      </c>
      <c r="D31" s="19" t="s">
        <v>58</v>
      </c>
      <c r="E31" s="1"/>
      <c r="F31" s="4" t="s">
        <v>1</v>
      </c>
      <c r="G31" s="4" t="s">
        <v>4</v>
      </c>
      <c r="H31" s="4" t="s">
        <v>3</v>
      </c>
      <c r="I31" s="4" t="s">
        <v>5</v>
      </c>
      <c r="J31" s="4" t="s">
        <v>6</v>
      </c>
      <c r="K31" s="6"/>
      <c r="L31" s="6"/>
      <c r="M31" s="6"/>
      <c r="N31" s="6"/>
      <c r="O31" s="6"/>
      <c r="P31" s="6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20" t="s">
        <v>7</v>
      </c>
      <c r="B32" s="8" t="s">
        <v>8</v>
      </c>
      <c r="C32" s="12" t="s">
        <v>59</v>
      </c>
      <c r="D32" s="21">
        <v>0.5</v>
      </c>
      <c r="E32" s="6"/>
      <c r="F32" s="14" t="s">
        <v>45</v>
      </c>
      <c r="G32" s="10" t="s">
        <v>46</v>
      </c>
      <c r="H32" s="22" t="s">
        <v>60</v>
      </c>
      <c r="I32" s="10" t="s">
        <v>10</v>
      </c>
      <c r="J32" s="11">
        <v>5.0</v>
      </c>
      <c r="K32" s="6"/>
      <c r="L32" s="6"/>
      <c r="M32" s="6"/>
      <c r="N32" s="6"/>
      <c r="O32" s="6"/>
      <c r="P32" s="6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20" t="s">
        <v>19</v>
      </c>
      <c r="B33" s="8" t="s">
        <v>20</v>
      </c>
      <c r="C33" s="12" t="s">
        <v>59</v>
      </c>
      <c r="D33" s="23">
        <v>0.15</v>
      </c>
      <c r="E33" s="6"/>
      <c r="F33" s="16"/>
      <c r="G33" s="16"/>
      <c r="H33" s="22" t="s">
        <v>61</v>
      </c>
      <c r="I33" s="10" t="s">
        <v>12</v>
      </c>
      <c r="J33" s="17">
        <v>4.0</v>
      </c>
      <c r="K33" s="6"/>
      <c r="L33" s="6"/>
      <c r="M33" s="6"/>
      <c r="N33" s="6"/>
      <c r="O33" s="6"/>
      <c r="P33" s="6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0" t="s">
        <v>26</v>
      </c>
      <c r="B34" s="8" t="s">
        <v>27</v>
      </c>
      <c r="C34" s="12" t="s">
        <v>59</v>
      </c>
      <c r="D34" s="23">
        <v>0.1</v>
      </c>
      <c r="E34" s="6"/>
      <c r="F34" s="16"/>
      <c r="G34" s="16"/>
      <c r="H34" s="22" t="s">
        <v>62</v>
      </c>
      <c r="I34" s="10" t="s">
        <v>14</v>
      </c>
      <c r="J34" s="17">
        <v>3.0</v>
      </c>
      <c r="K34" s="6"/>
      <c r="L34" s="6"/>
      <c r="M34" s="6"/>
      <c r="N34" s="6"/>
      <c r="O34" s="6"/>
      <c r="P34" s="6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0" t="s">
        <v>34</v>
      </c>
      <c r="B35" s="8" t="s">
        <v>35</v>
      </c>
      <c r="C35" s="12" t="s">
        <v>59</v>
      </c>
      <c r="D35" s="24">
        <v>0.1</v>
      </c>
      <c r="E35" s="6"/>
      <c r="F35" s="16"/>
      <c r="G35" s="16"/>
      <c r="H35" s="22" t="s">
        <v>63</v>
      </c>
      <c r="I35" s="10" t="s">
        <v>16</v>
      </c>
      <c r="J35" s="17">
        <v>2.0</v>
      </c>
      <c r="K35" s="6"/>
      <c r="L35" s="6"/>
      <c r="M35" s="6"/>
      <c r="N35" s="6"/>
      <c r="O35" s="6"/>
      <c r="P35" s="6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7" t="s">
        <v>45</v>
      </c>
      <c r="B36" s="8" t="s">
        <v>46</v>
      </c>
      <c r="C36" s="12" t="s">
        <v>59</v>
      </c>
      <c r="D36" s="23">
        <v>0.15</v>
      </c>
      <c r="E36" s="6"/>
      <c r="F36" s="16"/>
      <c r="G36" s="16"/>
      <c r="H36" s="22" t="s">
        <v>64</v>
      </c>
      <c r="I36" s="10" t="s">
        <v>18</v>
      </c>
      <c r="J36" s="17">
        <v>1.0</v>
      </c>
      <c r="K36" s="6"/>
      <c r="L36" s="6"/>
      <c r="M36" s="6"/>
      <c r="N36" s="6"/>
      <c r="O36" s="6"/>
      <c r="P36" s="6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38"/>
  </cols>
  <sheetData>
    <row r="2">
      <c r="A2" s="25"/>
      <c r="B2" s="26" t="s">
        <v>65</v>
      </c>
      <c r="C2" s="27"/>
      <c r="D2" s="27"/>
      <c r="E2" s="27"/>
      <c r="F2" s="27"/>
      <c r="G2" s="27"/>
      <c r="H2" s="27"/>
      <c r="I2" s="27"/>
      <c r="J2" s="28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25"/>
      <c r="B3" s="30" t="s">
        <v>66</v>
      </c>
      <c r="C3" s="27"/>
      <c r="D3" s="27"/>
      <c r="E3" s="27"/>
      <c r="F3" s="27"/>
      <c r="G3" s="27"/>
      <c r="H3" s="27"/>
      <c r="I3" s="27"/>
      <c r="J3" s="28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25"/>
      <c r="B4" s="25"/>
      <c r="C4" s="25"/>
      <c r="D4" s="25"/>
      <c r="E4" s="25"/>
      <c r="F4" s="25"/>
      <c r="G4" s="25"/>
      <c r="H4" s="25"/>
      <c r="I4" s="25"/>
      <c r="J4" s="25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25"/>
      <c r="B5" s="25"/>
      <c r="C5" s="25"/>
      <c r="D5" s="25"/>
      <c r="E5" s="25"/>
      <c r="F5" s="25"/>
      <c r="G5" s="25"/>
      <c r="H5" s="25"/>
      <c r="I5" s="25"/>
      <c r="J5" s="25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31" t="s">
        <v>67</v>
      </c>
      <c r="B6" s="31" t="s">
        <v>7</v>
      </c>
      <c r="C6" s="31" t="s">
        <v>19</v>
      </c>
      <c r="D6" s="31" t="s">
        <v>26</v>
      </c>
      <c r="E6" s="31" t="s">
        <v>34</v>
      </c>
      <c r="F6" s="31" t="s">
        <v>45</v>
      </c>
      <c r="G6" s="25"/>
      <c r="H6" s="32" t="s">
        <v>68</v>
      </c>
      <c r="I6" s="33" t="s">
        <v>57</v>
      </c>
      <c r="J6" s="34" t="s">
        <v>58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</row>
    <row r="7">
      <c r="A7" s="35" t="s">
        <v>69</v>
      </c>
      <c r="B7" s="36">
        <v>0.7</v>
      </c>
      <c r="C7" s="37" t="s">
        <v>14</v>
      </c>
      <c r="D7" s="38" t="s">
        <v>14</v>
      </c>
      <c r="E7" s="38" t="s">
        <v>16</v>
      </c>
      <c r="F7" s="38" t="s">
        <v>16</v>
      </c>
      <c r="G7" s="25"/>
      <c r="H7" s="39" t="s">
        <v>7</v>
      </c>
      <c r="I7" s="40" t="s">
        <v>59</v>
      </c>
      <c r="J7" s="41">
        <v>0.5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</row>
    <row r="8">
      <c r="A8" s="35" t="s">
        <v>70</v>
      </c>
      <c r="B8" s="42">
        <v>0.7</v>
      </c>
      <c r="C8" s="43" t="s">
        <v>12</v>
      </c>
      <c r="D8" s="44" t="s">
        <v>12</v>
      </c>
      <c r="E8" s="44" t="s">
        <v>12</v>
      </c>
      <c r="F8" s="44" t="s">
        <v>12</v>
      </c>
      <c r="G8" s="25"/>
      <c r="H8" s="39" t="s">
        <v>19</v>
      </c>
      <c r="I8" s="40" t="s">
        <v>59</v>
      </c>
      <c r="J8" s="45">
        <v>0.15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</row>
    <row r="9">
      <c r="A9" s="35" t="s">
        <v>71</v>
      </c>
      <c r="B9" s="46">
        <v>0.87</v>
      </c>
      <c r="C9" s="37" t="s">
        <v>14</v>
      </c>
      <c r="D9" s="38" t="s">
        <v>14</v>
      </c>
      <c r="E9" s="38" t="s">
        <v>14</v>
      </c>
      <c r="F9" s="38" t="s">
        <v>14</v>
      </c>
      <c r="G9" s="25"/>
      <c r="H9" s="39" t="s">
        <v>26</v>
      </c>
      <c r="I9" s="40" t="s">
        <v>59</v>
      </c>
      <c r="J9" s="45">
        <v>0.1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</row>
    <row r="10">
      <c r="A10" s="35" t="s">
        <v>72</v>
      </c>
      <c r="B10" s="42">
        <v>0.4495</v>
      </c>
      <c r="C10" s="43" t="s">
        <v>14</v>
      </c>
      <c r="D10" s="44" t="s">
        <v>16</v>
      </c>
      <c r="E10" s="44" t="s">
        <v>14</v>
      </c>
      <c r="F10" s="44" t="s">
        <v>16</v>
      </c>
      <c r="G10" s="25"/>
      <c r="H10" s="39" t="s">
        <v>34</v>
      </c>
      <c r="I10" s="40" t="s">
        <v>59</v>
      </c>
      <c r="J10" s="47">
        <v>0.1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</row>
    <row r="11">
      <c r="A11" s="35" t="s">
        <v>73</v>
      </c>
      <c r="B11" s="36">
        <v>0.66</v>
      </c>
      <c r="C11" s="37" t="s">
        <v>14</v>
      </c>
      <c r="D11" s="38" t="s">
        <v>14</v>
      </c>
      <c r="E11" s="38" t="s">
        <v>14</v>
      </c>
      <c r="F11" s="38" t="s">
        <v>14</v>
      </c>
      <c r="G11" s="25"/>
      <c r="H11" s="48" t="s">
        <v>45</v>
      </c>
      <c r="I11" s="40" t="s">
        <v>59</v>
      </c>
      <c r="J11" s="49">
        <v>0.15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4" t="s">
        <v>67</v>
      </c>
      <c r="B13" s="34" t="s">
        <v>7</v>
      </c>
      <c r="C13" s="34" t="s">
        <v>19</v>
      </c>
      <c r="D13" s="34" t="s">
        <v>26</v>
      </c>
      <c r="E13" s="34" t="s">
        <v>34</v>
      </c>
      <c r="F13" s="34" t="s">
        <v>45</v>
      </c>
      <c r="G13" s="25"/>
      <c r="H13" s="50" t="s">
        <v>4</v>
      </c>
      <c r="I13" s="50" t="s">
        <v>74</v>
      </c>
      <c r="J13" s="50" t="s">
        <v>58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1" t="s">
        <v>75</v>
      </c>
      <c r="B14" s="52">
        <v>2.0</v>
      </c>
      <c r="C14" s="52">
        <v>3.0</v>
      </c>
      <c r="D14" s="53">
        <v>3.0</v>
      </c>
      <c r="E14" s="52">
        <v>2.0</v>
      </c>
      <c r="F14" s="52">
        <v>2.0</v>
      </c>
      <c r="G14" s="25"/>
      <c r="H14" s="51" t="s">
        <v>7</v>
      </c>
      <c r="I14" s="54" t="s">
        <v>59</v>
      </c>
      <c r="J14" s="48">
        <v>0.5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51" t="s">
        <v>76</v>
      </c>
      <c r="B15" s="52">
        <v>2.0</v>
      </c>
      <c r="C15" s="52">
        <v>4.0</v>
      </c>
      <c r="D15" s="53">
        <v>4.0</v>
      </c>
      <c r="E15" s="53">
        <v>4.0</v>
      </c>
      <c r="F15" s="52">
        <v>4.0</v>
      </c>
      <c r="G15" s="25"/>
      <c r="H15" s="51" t="s">
        <v>19</v>
      </c>
      <c r="I15" s="54" t="s">
        <v>59</v>
      </c>
      <c r="J15" s="48">
        <v>0.15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51" t="s">
        <v>77</v>
      </c>
      <c r="B16" s="52">
        <v>4.0</v>
      </c>
      <c r="C16" s="52">
        <v>3.0</v>
      </c>
      <c r="D16" s="53">
        <v>3.0</v>
      </c>
      <c r="E16" s="52">
        <v>3.0</v>
      </c>
      <c r="F16" s="52">
        <v>3.0</v>
      </c>
      <c r="G16" s="25"/>
      <c r="H16" s="51" t="s">
        <v>26</v>
      </c>
      <c r="I16" s="54" t="s">
        <v>59</v>
      </c>
      <c r="J16" s="48">
        <v>0.1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51" t="s">
        <v>78</v>
      </c>
      <c r="B17" s="52">
        <v>1.0</v>
      </c>
      <c r="C17" s="53">
        <v>3.0</v>
      </c>
      <c r="D17" s="53">
        <v>2.0</v>
      </c>
      <c r="E17" s="53">
        <v>3.0</v>
      </c>
      <c r="F17" s="52">
        <v>2.0</v>
      </c>
      <c r="G17" s="25"/>
      <c r="H17" s="51" t="s">
        <v>34</v>
      </c>
      <c r="I17" s="54" t="s">
        <v>59</v>
      </c>
      <c r="J17" s="54">
        <v>0.1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51" t="s">
        <v>79</v>
      </c>
      <c r="B18" s="52">
        <v>2.0</v>
      </c>
      <c r="C18" s="52">
        <v>3.0</v>
      </c>
      <c r="D18" s="52">
        <v>3.0</v>
      </c>
      <c r="E18" s="52">
        <v>3.0</v>
      </c>
      <c r="F18" s="52">
        <v>3.0</v>
      </c>
      <c r="G18" s="25"/>
      <c r="H18" s="51" t="s">
        <v>45</v>
      </c>
      <c r="I18" s="54" t="s">
        <v>59</v>
      </c>
      <c r="J18" s="48">
        <v>0.15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55" t="s">
        <v>80</v>
      </c>
      <c r="B20" s="27"/>
      <c r="C20" s="27"/>
      <c r="D20" s="27"/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4" t="s">
        <v>67</v>
      </c>
      <c r="B21" s="34" t="s">
        <v>7</v>
      </c>
      <c r="C21" s="34" t="s">
        <v>19</v>
      </c>
      <c r="D21" s="34" t="s">
        <v>26</v>
      </c>
      <c r="E21" s="34" t="s">
        <v>34</v>
      </c>
      <c r="F21" s="34" t="s">
        <v>45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51" t="s">
        <v>75</v>
      </c>
      <c r="B22" s="56">
        <f t="shared" ref="B22:B26" si="1">B14/MAX($B$14:$B$18)</f>
        <v>0.5</v>
      </c>
      <c r="C22" s="56">
        <f t="shared" ref="C22:C26" si="2">C14/MAX($C$14:$C$18)</f>
        <v>0.75</v>
      </c>
      <c r="D22" s="56">
        <f t="shared" ref="D22:D26" si="3">D14/MAX($D$14:$D$18)</f>
        <v>0.75</v>
      </c>
      <c r="E22" s="56">
        <f t="shared" ref="E22:E26" si="4">E14/MAX($E$14:$E$18)</f>
        <v>0.5</v>
      </c>
      <c r="F22" s="54">
        <f t="shared" ref="F22:F26" si="5">F14/MAX($F$14:$F$18)</f>
        <v>0.5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51" t="s">
        <v>76</v>
      </c>
      <c r="B23" s="56">
        <f t="shared" si="1"/>
        <v>0.5</v>
      </c>
      <c r="C23" s="56">
        <f t="shared" si="2"/>
        <v>1</v>
      </c>
      <c r="D23" s="56">
        <f t="shared" si="3"/>
        <v>1</v>
      </c>
      <c r="E23" s="56">
        <f t="shared" si="4"/>
        <v>1</v>
      </c>
      <c r="F23" s="54">
        <f t="shared" si="5"/>
        <v>1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51" t="s">
        <v>77</v>
      </c>
      <c r="B24" s="56">
        <f t="shared" si="1"/>
        <v>1</v>
      </c>
      <c r="C24" s="56">
        <f t="shared" si="2"/>
        <v>0.75</v>
      </c>
      <c r="D24" s="56">
        <f t="shared" si="3"/>
        <v>0.75</v>
      </c>
      <c r="E24" s="56">
        <f t="shared" si="4"/>
        <v>0.75</v>
      </c>
      <c r="F24" s="54">
        <f t="shared" si="5"/>
        <v>0.75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51" t="s">
        <v>78</v>
      </c>
      <c r="B25" s="56">
        <f t="shared" si="1"/>
        <v>0.25</v>
      </c>
      <c r="C25" s="56">
        <f t="shared" si="2"/>
        <v>0.75</v>
      </c>
      <c r="D25" s="56">
        <f t="shared" si="3"/>
        <v>0.5</v>
      </c>
      <c r="E25" s="56">
        <f t="shared" si="4"/>
        <v>0.75</v>
      </c>
      <c r="F25" s="54">
        <f t="shared" si="5"/>
        <v>0.5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51" t="s">
        <v>79</v>
      </c>
      <c r="B26" s="56">
        <f t="shared" si="1"/>
        <v>0.5</v>
      </c>
      <c r="C26" s="56">
        <f t="shared" si="2"/>
        <v>0.75</v>
      </c>
      <c r="D26" s="56">
        <f t="shared" si="3"/>
        <v>0.75</v>
      </c>
      <c r="E26" s="56">
        <f t="shared" si="4"/>
        <v>0.75</v>
      </c>
      <c r="F26" s="54">
        <f t="shared" si="5"/>
        <v>0.75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34" t="s">
        <v>67</v>
      </c>
      <c r="B28" s="34" t="s">
        <v>81</v>
      </c>
      <c r="C28" s="34" t="s">
        <v>82</v>
      </c>
      <c r="D28" s="34" t="s">
        <v>83</v>
      </c>
      <c r="E28" s="34" t="s">
        <v>84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51" t="s">
        <v>75</v>
      </c>
      <c r="B29" s="57">
        <f t="shared" ref="B29:B33" si="6">($J$14*B22)+($J$15*C22)+($J$16*D22)+($J$17*E22)+($J$18*F22)</f>
        <v>0.5625</v>
      </c>
      <c r="C29" s="57">
        <f t="shared" ref="C29:C33" si="7">((B22)^($J$14))*((C22)^($J$15))*((D22)^($J$16))*((E22)^($J$17))*((F22)^($J$18))</f>
        <v>0.5533409599</v>
      </c>
      <c r="D29" s="57">
        <f t="shared" ref="D29:D33" si="8">AVERAGE(B29:C29)</f>
        <v>0.5579204799</v>
      </c>
      <c r="E29" s="58">
        <f t="shared" ref="E29:E33" si="9">RANK(D29,$D$29:$D$33,0)</f>
        <v>4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51" t="s">
        <v>76</v>
      </c>
      <c r="B30" s="57">
        <f t="shared" si="6"/>
        <v>0.75</v>
      </c>
      <c r="C30" s="57">
        <f t="shared" si="7"/>
        <v>0.7071067812</v>
      </c>
      <c r="D30" s="57">
        <f t="shared" si="8"/>
        <v>0.7285533906</v>
      </c>
      <c r="E30" s="58">
        <f t="shared" si="9"/>
        <v>2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51" t="s">
        <v>77</v>
      </c>
      <c r="B31" s="57">
        <f t="shared" si="6"/>
        <v>0.875</v>
      </c>
      <c r="C31" s="57">
        <f t="shared" si="7"/>
        <v>0.8660254038</v>
      </c>
      <c r="D31" s="57">
        <f t="shared" si="8"/>
        <v>0.8705127019</v>
      </c>
      <c r="E31" s="58">
        <f t="shared" si="9"/>
        <v>1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51" t="s">
        <v>78</v>
      </c>
      <c r="B32" s="57">
        <f t="shared" si="6"/>
        <v>0.4375</v>
      </c>
      <c r="C32" s="57">
        <f t="shared" si="7"/>
        <v>0.391271145</v>
      </c>
      <c r="D32" s="57">
        <f t="shared" si="8"/>
        <v>0.4143855725</v>
      </c>
      <c r="E32" s="58">
        <f t="shared" si="9"/>
        <v>5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51" t="s">
        <v>79</v>
      </c>
      <c r="B33" s="57">
        <f t="shared" si="6"/>
        <v>0.625</v>
      </c>
      <c r="C33" s="57">
        <f t="shared" si="7"/>
        <v>0.6123724357</v>
      </c>
      <c r="D33" s="57">
        <f t="shared" si="8"/>
        <v>0.6186862178</v>
      </c>
      <c r="E33" s="58">
        <f t="shared" si="9"/>
        <v>3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</sheetData>
  <mergeCells count="3">
    <mergeCell ref="B2:J2"/>
    <mergeCell ref="B3:J3"/>
    <mergeCell ref="A20:F20"/>
  </mergeCells>
  <drawing r:id="rId1"/>
  <tableParts count="4">
    <tablePart r:id="rId6"/>
    <tablePart r:id="rId7"/>
    <tablePart r:id="rId8"/>
    <tablePart r:id="rId9"/>
  </tableParts>
</worksheet>
</file>